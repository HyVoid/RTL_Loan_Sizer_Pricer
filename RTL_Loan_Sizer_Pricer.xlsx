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ngy\Downloads\"/>
    </mc:Choice>
  </mc:AlternateContent>
  <xr:revisionPtr revIDLastSave="0" documentId="13_ncr:1_{E8CB4355-86B2-40BD-85CA-895BC97EC31F}" xr6:coauthVersionLast="47" xr6:coauthVersionMax="47" xr10:uidLastSave="{00000000-0000-0000-0000-000000000000}"/>
  <bookViews>
    <workbookView xWindow="43080" yWindow="-120" windowWidth="29040" windowHeight="15720" tabRatio="500" activeTab="4" xr2:uid="{00000000-000D-0000-FFFF-FFFF00000000}"/>
  </bookViews>
  <sheets>
    <sheet name="01_ReadMe" sheetId="1" r:id="rId1"/>
    <sheet name="02_Inputs" sheetId="2" r:id="rId2"/>
    <sheet name="03_Pricing_&amp;_Assumptions" sheetId="3" r:id="rId3"/>
    <sheet name="04_Calc_Engine" sheetId="4" state="hidden" r:id="rId4"/>
    <sheet name="05_Quote_Summary" sheetId="5" r:id="rId5"/>
  </sheets>
  <definedNames>
    <definedName name="_xlnm.Print_Area" localSheetId="4">'05_Quote_Summary'!$A$1:$E$33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" i="5" l="1"/>
  <c r="D29" i="5"/>
  <c r="D28" i="5"/>
  <c r="D11" i="5"/>
  <c r="D10" i="5"/>
  <c r="D9" i="5"/>
  <c r="D8" i="5"/>
  <c r="E2" i="5"/>
  <c r="A2" i="5"/>
  <c r="C34" i="4"/>
  <c r="D21" i="5" s="1"/>
  <c r="C33" i="4"/>
  <c r="D22" i="5" s="1"/>
  <c r="C15" i="4"/>
  <c r="C18" i="5" s="1"/>
  <c r="C14" i="4"/>
  <c r="C17" i="5" s="1"/>
  <c r="C13" i="4"/>
  <c r="C16" i="5" s="1"/>
  <c r="C12" i="4"/>
  <c r="C15" i="5" s="1"/>
  <c r="C8" i="4"/>
  <c r="D18" i="5" s="1"/>
  <c r="C7" i="4"/>
  <c r="D16" i="5" s="1"/>
  <c r="C6" i="4"/>
  <c r="D15" i="5" s="1"/>
  <c r="C21" i="4" l="1"/>
  <c r="E18" i="5" s="1"/>
  <c r="C20" i="4"/>
  <c r="E16" i="5" s="1"/>
  <c r="C35" i="4"/>
  <c r="C19" i="4"/>
  <c r="C26" i="4"/>
  <c r="C28" i="4" l="1"/>
  <c r="C29" i="4" s="1"/>
  <c r="C27" i="4"/>
  <c r="C41" i="4"/>
  <c r="C22" i="4"/>
  <c r="A5" i="5" s="1"/>
  <c r="E15" i="5"/>
  <c r="C36" i="4"/>
  <c r="D23" i="5"/>
  <c r="D24" i="5" l="1"/>
  <c r="C37" i="4"/>
  <c r="D25" i="5" s="1"/>
</calcChain>
</file>

<file path=xl/sharedStrings.xml><?xml version="1.0" encoding="utf-8"?>
<sst xmlns="http://schemas.openxmlformats.org/spreadsheetml/2006/main" count="242" uniqueCount="186">
  <si>
    <t>RTL LOAN SIZER / PRICER  ·  OPERATIONAL GUIDE</t>
  </si>
  <si>
    <t>Internal Use Only  ·  Do Not Distribute Without Authorization</t>
  </si>
  <si>
    <t xml:space="preserve">  HOW TO USE THIS TOOL</t>
  </si>
  <si>
    <t>STEP 1  —  INPUT</t>
  </si>
  <si>
    <t>Open 02_Inputs. Fill every light-blue cell. Use the dropdowns for Loan Type, Experience Tier, and Term Months. Do not edit any other cells.</t>
  </si>
  <si>
    <t>STEP 2  —  VERIFY</t>
  </si>
  <si>
    <t>04_Calc_Engine updates automatically. Review the Eligibility Flags section for any FAIL or EXCEPTION status before generating a quote.</t>
  </si>
  <si>
    <t>STEP 3  —  QUOTE</t>
  </si>
  <si>
    <t>Navigate to 05_Quote_Summary for the client-ready single-page term sheet. Export via File → Export → Create PDF/XPS.</t>
  </si>
  <si>
    <t>STEP 4  —  SAVE</t>
  </si>
  <si>
    <t>Save a named copy per deal (e.g., "Smith_Property_2024-01-15.xlsx"). Never overwrite the master template file.</t>
  </si>
  <si>
    <t xml:space="preserve">  WORKBOOK ARCHITECTURE</t>
  </si>
  <si>
    <t>01_ReadMe</t>
  </si>
  <si>
    <t>Config layer. User guide, admin notes, version log. No fill tab.</t>
  </si>
  <si>
    <t>02_Inputs</t>
  </si>
  <si>
    <t>All data entry here. Light-blue cells are editable; all others are locked. Dropdowns enforced.</t>
  </si>
  <si>
    <t>03_Pricing_&amp;_Assumptions</t>
  </si>
  <si>
    <t>RESTRICTED. Buy rate matrix, leverage caps, fee presets. Must be xlSheetVeryHidden in Originator version (see Admin Actions below).</t>
  </si>
  <si>
    <t>04_Calc_Engine</t>
  </si>
  <si>
    <t>RESTRICTED. All LTV/LTC/pricing/settlement calculations. Must be xlSheetVeryHidden + formula-masked in Originator version.</t>
  </si>
  <si>
    <t>05_Quote_Summary</t>
  </si>
  <si>
    <t>Client-safe output page. All values are formula links from Calc_Engine. No internal pricing data. Designed for single-page PDF export.</t>
  </si>
  <si>
    <t xml:space="preserve">  ⚠  ADMIN ACTIONS REQUIRED  (VBA / MANUAL — OUTSIDE CODE SCOPE)</t>
  </si>
  <si>
    <t>Sheet Hiding</t>
  </si>
  <si>
    <t>Alt+F11 → Project Explorer → select 03_Pricing_&amp;_Assumptions and 04_Calc_Engine → Properties panel → Visible = 2 – xlSheetVeryHidden. Cannot be unhidden via right-click.</t>
  </si>
  <si>
    <t>Workbook Structure Lock</t>
  </si>
  <si>
    <t>Review → Protect Workbook → Structure. Enter a strong admin password. This prevents sheet insertion, deletion, moving, or unhiding.</t>
  </si>
  <si>
    <t>Formula Masking</t>
  </si>
  <si>
    <t>On sheets 03 and 04: Select All Cells (Ctrl+A) → Ctrl+1 → Protection tab → check BOTH Locked and Hidden. Then Review → Protect Sheet with password to activate the masking.</t>
  </si>
  <si>
    <t>Conditional Formatting (Inputs)</t>
  </si>
  <si>
    <t>On 02_Inputs: Add CF rules to gray out cells C10 and C11 when C5="Bridge". Formula: =$C$5="Bridge", apply gray fill (#CCCCCC) to C10:C11 to signal those fields are N/A.</t>
  </si>
  <si>
    <t>Rate Grid Updates</t>
  </si>
  <si>
    <t>To edit buy rates: unprotect sheet 03 → modify cells C19:I25 only → re-protect. The grid dimensions (rows 6-10 leverage, rows 19-25 grid, cols C-I) must not change.</t>
  </si>
  <si>
    <t xml:space="preserve">  VERSION HISTORY</t>
  </si>
  <si>
    <t>Version</t>
  </si>
  <si>
    <t>Date</t>
  </si>
  <si>
    <t>Author / Notes</t>
  </si>
  <si>
    <t>v1.0</t>
  </si>
  <si>
    <t>—</t>
  </si>
  <si>
    <t>Initial build — RTL Loan Sizer Blueprint v1.0</t>
  </si>
  <si>
    <t>RTL LOAN SIZER / PRICER  ·  DATA INPUTS</t>
  </si>
  <si>
    <t>Enter all data in the highlighted input cells only.  All other cells are locked and protected.</t>
  </si>
  <si>
    <t xml:space="preserve">  SECTION A  —  LOAN OVERVIEW</t>
  </si>
  <si>
    <t>Loan Type</t>
  </si>
  <si>
    <t>text</t>
  </si>
  <si>
    <t>Dropdown: Bridge / Fix-and-Flip / Light Rehab / Heavy Rehab / Construction</t>
  </si>
  <si>
    <t xml:space="preserve">  SECTION B  —  PROPERTY DETAILS</t>
  </si>
  <si>
    <t>Purchase Price ($)</t>
  </si>
  <si>
    <t>$#,##0</t>
  </si>
  <si>
    <t>Contract purchase price of the target residential property</t>
  </si>
  <si>
    <t>As-Is Value ($)</t>
  </si>
  <si>
    <t>Current appraised "as-is" value before any improvements</t>
  </si>
  <si>
    <t>Rehab Budget ($)</t>
  </si>
  <si>
    <t>Total scope-of-work cost estimate; enter 0 for Bridge loans</t>
  </si>
  <si>
    <t>After-Repair Value / ARV ($)</t>
  </si>
  <si>
    <t>Post-renovation estimated market value; enter 0 for Bridge loans</t>
  </si>
  <si>
    <t xml:space="preserve">  SECTION C  —  REQUESTED LOAN TERMS</t>
  </si>
  <si>
    <t>Requested Loan Amount ($)</t>
  </si>
  <si>
    <t>Total gross loan amount requested by the borrower</t>
  </si>
  <si>
    <t>Proposed Note Rate (Borrower Rate)</t>
  </si>
  <si>
    <t>0.00%</t>
  </si>
  <si>
    <t>Gross interest rate to borrower — enter as decimal (e.g. 0.1050 = 10.50%)</t>
  </si>
  <si>
    <t xml:space="preserve">  SECTION D  —  BORROWER RISK PROFILE</t>
  </si>
  <si>
    <t>FICO Score</t>
  </si>
  <si>
    <t>0</t>
  </si>
  <si>
    <t>Credit score of the guarantor/primary borrower (300–850)</t>
  </si>
  <si>
    <t>Experience Tier</t>
  </si>
  <si>
    <t>Borrower's completed deals in past 36 months — select from dropdown</t>
  </si>
  <si>
    <t>Verified Liquid Assets ($)</t>
  </si>
  <si>
    <t>Cash or cash-equivalents verified at time of application</t>
  </si>
  <si>
    <t xml:space="preserve">  SECTION E  —  TRANSACTION PARAMETERS</t>
  </si>
  <si>
    <t>Loan Term (Months)</t>
  </si>
  <si>
    <t>Duration of the transitional loan — select from dropdown</t>
  </si>
  <si>
    <t>Short Interest Days (0–30)</t>
  </si>
  <si>
    <t>Number of prepaid short interest days collected at close</t>
  </si>
  <si>
    <t xml:space="preserve">  INPUT LEGEND</t>
  </si>
  <si>
    <t xml:space="preserve">  Sample  </t>
  </si>
  <si>
    <t>User-editable input cell  (blue text = hardcoded value)</t>
  </si>
  <si>
    <t>Locked / calculated — do not edit</t>
  </si>
  <si>
    <t>⚠  WIREFRAME: Dynamic graying of Rehab/ARV cells when Loan Type = Bridge requires Conditional Formatting applied manually in Excel UI. See 01_ReadMe → Admin Actions.</t>
  </si>
  <si>
    <t>RTL LOAN SIZER / PRICER  ·  PRICING &amp; ASSUMPTIONS  —  RESTRICTED: ADMIN ACCESS ONLY</t>
  </si>
  <si>
    <t>⚠  In the Originator-Facing version, this sheet must be set to xlSheetVeryHidden via VBA (Alt+F11). See 01_ReadMe → Admin Actions.</t>
  </si>
  <si>
    <t xml:space="preserve">  SECTION 1  —  MAXIMUM LEVERAGE LIMITS BY LOAN TYPE</t>
  </si>
  <si>
    <t>Max LTV</t>
  </si>
  <si>
    <t>Max LTC</t>
  </si>
  <si>
    <t>Max LTARV</t>
  </si>
  <si>
    <t>Bridge</t>
  </si>
  <si>
    <t>N/A</t>
  </si>
  <si>
    <t>Fix-and-Flip</t>
  </si>
  <si>
    <t>Light Rehab</t>
  </si>
  <si>
    <t>Heavy Rehab</t>
  </si>
  <si>
    <t>Construction</t>
  </si>
  <si>
    <t xml:space="preserve">  SECTION 2  —  PROFIT SAFEGUARDS &amp; FEE DEFAULTS</t>
  </si>
  <si>
    <t>Minimum Spread Floor</t>
  </si>
  <si>
    <t>[Asm_Min_Spread]</t>
  </si>
  <si>
    <t>Minimum lender margin over buy rate. Calc_Spread_Status = 'Below Margin' if violated.</t>
  </si>
  <si>
    <t>Annual Servicing Fee</t>
  </si>
  <si>
    <t>[Asm_Serv_Fee_Pct]</t>
  </si>
  <si>
    <t>Deducted from gross loan at settlement: Loan_Amt × (Fee/12) × Term_Months.</t>
  </si>
  <si>
    <t xml:space="preserve">  SECTION 3  —  BASE BUY RATE PRICING GRID  (FICO × LTV Tier Matrix)</t>
  </si>
  <si>
    <t>MATCH logic (Actual/360): MATCH(FICO, B19:B25, 1) → largest FICO tier ≤ input.  MATCH(LTV, C18:I18, 1) → largest LTV tier ≤ Calc_Actual_LTV.  INDEX(C19:I25, row, col) retrieves the Buy Rate.  N/A cells = combination not offered; Eligibility flag will fire first.</t>
  </si>
  <si>
    <t>FICO  ↓  /  LTV →</t>
  </si>
  <si>
    <t>⚠  WIREFRAME: This sheet must be password-protected and set to xlSheetVeryHidden via VBA. Row/column structure (leverage rows 6-10, grid rows 19-25, grid cols C-I) MUST NOT change — Calc_Engine INDEX/MATCH formula ranges are hard-coded against this layout.</t>
  </si>
  <si>
    <t>RTL LOAN SIZER / PRICER  ·  CALCULATION ENGINE  —  RESTRICTED: DO NOT DISTRIBUTE</t>
  </si>
  <si>
    <t>⚠  All formula cells must be set to Locked+Hidden (Ctrl+1 → Protection), sheet protected, and sheet visibility set to xlSheetVeryHidden via VBA. See 01_ReadMe → Admin Actions.</t>
  </si>
  <si>
    <t xml:space="preserve">  SECTION 1  —  DYNAMIC LEVERAGE CONSTRAINTS  (Lookup from Pricing Sheet by Loan Type)</t>
  </si>
  <si>
    <t>Variable</t>
  </si>
  <si>
    <t>Calculated Value</t>
  </si>
  <si>
    <t>Format</t>
  </si>
  <si>
    <t>Description</t>
  </si>
  <si>
    <t>Asm_Max_LTV</t>
  </si>
  <si>
    <t>Max LTV for the selected loan type; 0 if no match</t>
  </si>
  <si>
    <t>Asm_Max_LTC</t>
  </si>
  <si>
    <t>Max LTC; returns "N/A" string for Bridge (N("N/A")=0 → flag N/A)</t>
  </si>
  <si>
    <t>Asm_Max_LTARV</t>
  </si>
  <si>
    <t>Max LTARV; returns "N/A" string for Bridge</t>
  </si>
  <si>
    <t xml:space="preserve">  SECTION 2  —  LEVERAGE METRICS</t>
  </si>
  <si>
    <t>Calc_Actual_LTV</t>
  </si>
  <si>
    <t>Loan Amount ÷ As-Is Value</t>
  </si>
  <si>
    <t>Calc_Actual_LTC</t>
  </si>
  <si>
    <t>Loan Amount ÷ (Purchase Price + Rehab Budget)</t>
  </si>
  <si>
    <t>Calc_Actual_LTP</t>
  </si>
  <si>
    <t>Loan Amount ÷ Purchase Price</t>
  </si>
  <si>
    <t>Calc_Actual_LTARV</t>
  </si>
  <si>
    <t>Loan Amount ÷ ARV; returns 0 if ARV field is blank</t>
  </si>
  <si>
    <t xml:space="preserve">  SECTION 3  —  UNDERWRITING FLAGS &amp; GLOBAL ELIGIBILITY</t>
  </si>
  <si>
    <t>Calc_LTV_Flag</t>
  </si>
  <si>
    <t>@</t>
  </si>
  <si>
    <t>Pass / Exception (within 5% buffer) / Fail / N/A if no loan type selected</t>
  </si>
  <si>
    <t>Calc_LTC_Flag</t>
  </si>
  <si>
    <t>Pass / Exception / Fail / N/A if not applicable for loan type (e.g. Bridge)</t>
  </si>
  <si>
    <t>Calc_LTARV_Flag</t>
  </si>
  <si>
    <t>Pass / Exception / Fail / N/A if ARV field is blank</t>
  </si>
  <si>
    <t>Calc_Global_Elig</t>
  </si>
  <si>
    <t>OVERALL STATUS — drives the badge on 05_Quote_Summary</t>
  </si>
  <si>
    <t xml:space="preserve">  SECTION 4  —  PRICING ENGINE</t>
  </si>
  <si>
    <t>Calc_Buy_Rate</t>
  </si>
  <si>
    <t>MATCH(FICO, tiers, ≤) × MATCH(Actual_LTV, tiers, ≤) → INDEX into buy rate grid</t>
  </si>
  <si>
    <t>Calc_Spread</t>
  </si>
  <si>
    <t>Note Rate minus Buy Rate = lender gross margin</t>
  </si>
  <si>
    <t>Calc_Spread_Status</t>
  </si>
  <si>
    <t>Valid if Spread ≥ Asm_Min_Spread; otherwise Below Margin</t>
  </si>
  <si>
    <t>Calc_Spread_Deficit</t>
  </si>
  <si>
    <t>Shortfall below Min Spread Floor; 0 if margin is valid</t>
  </si>
  <si>
    <t xml:space="preserve">  SECTION 5  —  SETTLEMENT CALCULATIONS</t>
  </si>
  <si>
    <t>Calc_Serv_Fee_Amt</t>
  </si>
  <si>
    <t>$#,##0.00</t>
  </si>
  <si>
    <t>Loan Amt × (Annual Serv Fee ÷ 12) × Term Months</t>
  </si>
  <si>
    <t>Calc_Short_Interest</t>
  </si>
  <si>
    <t>Loan Amt × (Note Rate ÷ 360) × Short Int Days  [Actual/360 convention]</t>
  </si>
  <si>
    <t>Calc_Net_Funding</t>
  </si>
  <si>
    <t>Gross Loan Amount minus Short Interest minus Servicing Fee Reserve</t>
  </si>
  <si>
    <t>Calc_Cash_To_Close</t>
  </si>
  <si>
    <t>MAX(0, Total Project Cost minus Net Funding to Borrower)</t>
  </si>
  <si>
    <t>Calc_Liq_Shortfall</t>
  </si>
  <si>
    <t>MAX(0, Cash-to-Close minus Verified Liquid Assets)</t>
  </si>
  <si>
    <t xml:space="preserve">  SECTION 6  —  LENDER PROFIT EVALUATION  ⚠  INTERNAL ONLY — NOT SURFACED ON QUOTE SUMMARY</t>
  </si>
  <si>
    <t>Calc_Lender_Profit</t>
  </si>
  <si>
    <t>Loan Amount × Spread × (Term Months ÷ 12) = estimated gross lender profit</t>
  </si>
  <si>
    <t>⚠  WIREFRAME: Sheet 04 must be set to xlSheetVeryHidden, all formula cells set to Locked+Hidden, and sheet protected with admin password. See 01_ReadMe → Admin Actions.</t>
  </si>
  <si>
    <t>RESIDENTIAL TRANSITIONAL LOAN  ·  INDICATIVE TERM SHEET</t>
  </si>
  <si>
    <t>Date Prepared:</t>
  </si>
  <si>
    <t xml:space="preserve">  OVERALL ELIGIBILITY STATUS</t>
  </si>
  <si>
    <t xml:space="preserve">  LOAN TERMS</t>
  </si>
  <si>
    <t>Loan Amount</t>
  </si>
  <si>
    <t>Borrower Interest Rate</t>
  </si>
  <si>
    <t>Loan Term</t>
  </si>
  <si>
    <t xml:space="preserve">  LEVERAGE METRICS</t>
  </si>
  <si>
    <t>Metric</t>
  </si>
  <si>
    <t>Actual</t>
  </si>
  <si>
    <t>Maximum Allowed</t>
  </si>
  <si>
    <t>Status</t>
  </si>
  <si>
    <t>Loan-to-Value (LTV)</t>
  </si>
  <si>
    <t>Loan-to-Cost (LTC)</t>
  </si>
  <si>
    <t>Loan-to-Purchase (LTP)</t>
  </si>
  <si>
    <t>Loan-to-ARV (LTARV)</t>
  </si>
  <si>
    <t xml:space="preserve">  SETTLEMENT SUMMARY</t>
  </si>
  <si>
    <t>Prepaid Short Interest</t>
  </si>
  <si>
    <t>Servicing Fee Reserve</t>
  </si>
  <si>
    <t>Net Funding to Borrower</t>
  </si>
  <si>
    <t>Cash-to-Close Required</t>
  </si>
  <si>
    <t>Liquidity Shortfall</t>
  </si>
  <si>
    <t xml:space="preserve">  BORROWER PROFILE</t>
  </si>
  <si>
    <t>Verified Liquid Assets</t>
  </si>
  <si>
    <t>DISCLAIMER: This document is indicative only and does not constitute a commitment to lend. All terms are subject to final underwriting review, independent appraisal, title examination, and lender credit approval. Confidential.</t>
  </si>
  <si>
    <t>⚠  WIREFRAME NOTE (DELETE BEFORE DISTRIBUTING): Verify print area A1:E32 via File → Export → PDF. Confirm no Buy Rate, Spread, or Lender Profit data appears.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</si>
</sst>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$#,##0"/>
    <numFmt numFmtId="165" formatCode="0.000%"/>
    <numFmt numFmtId="166" formatCode="\$#,##0.00"/>
    <numFmt numFmtId="167" formatCode="dd\-mmm\-yyyy"/>
  </numFmts>
  <fonts count="37">
    <font>
      <sz val="11"/>
      <color theme="1"/>
      <name val="Calibri"/>
      <family val="2"/>
      <charset val="1"/>
    </font>
    <font>
      <b/>
      <sz val="14"/>
      <color rgb="FFFFFFFF"/>
      <name val="Garamond"/>
      <family val="1"/>
    </font>
    <font>
      <i/>
      <sz val="9"/>
      <color rgb="FFFFFFFF"/>
      <name val="Calibri"/>
      <family val="2"/>
    </font>
    <font>
      <b/>
      <sz val="9"/>
      <color rgb="FFFFFFFF"/>
      <name val="Garamond"/>
      <family val="1"/>
    </font>
    <font>
      <sz val="9"/>
      <color rgb="FF051C2C"/>
      <name val="Calibri"/>
      <family val="2"/>
    </font>
    <font>
      <sz val="10"/>
      <color rgb="FF051C2C"/>
      <name val="Calibri"/>
      <family val="2"/>
    </font>
    <font>
      <i/>
      <sz val="8"/>
      <color rgb="FF888888"/>
      <name val="Calibri"/>
      <family val="2"/>
    </font>
    <font>
      <i/>
      <sz val="8"/>
      <color rgb="FFD32F2F"/>
      <name val="Calibri"/>
      <family val="2"/>
    </font>
    <font>
      <i/>
      <sz val="9"/>
      <color rgb="FFD32F2F"/>
      <name val="Calibri"/>
      <family val="2"/>
    </font>
    <font>
      <b/>
      <sz val="13"/>
      <color rgb="FF2251FF"/>
      <name val="Garamond"/>
      <family val="1"/>
    </font>
    <font>
      <b/>
      <sz val="26"/>
      <color rgb="FFFFFFFF"/>
      <name val="Garamond"/>
      <family val="1"/>
    </font>
    <font>
      <b/>
      <sz val="10"/>
      <color rgb="FF051C2C"/>
      <name val="Calibri"/>
      <family val="2"/>
    </font>
    <font>
      <b/>
      <sz val="11"/>
      <color rgb="FF051C2C"/>
      <name val="Calibri"/>
      <family val="2"/>
    </font>
    <font>
      <i/>
      <sz val="9"/>
      <color rgb="FFFFFFFF"/>
      <name val="等线"/>
    </font>
    <font>
      <sz val="11"/>
      <color theme="1"/>
      <name val="等线"/>
    </font>
    <font>
      <b/>
      <sz val="9"/>
      <color rgb="FF2251FF"/>
      <name val="等线"/>
    </font>
    <font>
      <sz val="9"/>
      <color rgb="FF051C2C"/>
      <name val="等线"/>
    </font>
    <font>
      <b/>
      <sz val="9"/>
      <color rgb="FF051C2C"/>
      <name val="等线"/>
    </font>
    <font>
      <b/>
      <sz val="9"/>
      <color rgb="FFD32F2F"/>
      <name val="等线"/>
    </font>
    <font>
      <sz val="9"/>
      <color rgb="FFD32F2F"/>
      <name val="等线"/>
    </font>
    <font>
      <b/>
      <sz val="8"/>
      <color rgb="FFFFFFFF"/>
      <name val="等线"/>
    </font>
    <font>
      <sz val="10"/>
      <color rgb="FF051C2C"/>
      <name val="等线"/>
    </font>
    <font>
      <b/>
      <sz val="10"/>
      <color rgb="FF0000FF"/>
      <name val="等线"/>
    </font>
    <font>
      <i/>
      <sz val="8"/>
      <color rgb="FF888888"/>
      <name val="等线"/>
    </font>
    <font>
      <b/>
      <sz val="9"/>
      <color rgb="FF0000FF"/>
      <name val="等线"/>
    </font>
    <font>
      <b/>
      <sz val="9"/>
      <color rgb="FF888888"/>
      <name val="等线"/>
    </font>
    <font>
      <i/>
      <sz val="8"/>
      <color rgb="FFD32F2F"/>
      <name val="等线"/>
    </font>
    <font>
      <i/>
      <sz val="9"/>
      <color rgb="FFD32F2F"/>
      <name val="等线"/>
    </font>
    <font>
      <sz val="9"/>
      <color rgb="FF888888"/>
      <name val="等线"/>
    </font>
    <font>
      <b/>
      <sz val="9"/>
      <color rgb="FFFFFFFF"/>
      <name val="等线"/>
    </font>
    <font>
      <sz val="8"/>
      <color rgb="FF888888"/>
      <name val="等线"/>
    </font>
    <font>
      <b/>
      <sz val="10"/>
      <color rgb="FF000000"/>
      <name val="等线"/>
    </font>
    <font>
      <i/>
      <sz val="9"/>
      <color rgb="FF888888"/>
      <name val="等线"/>
    </font>
    <font>
      <b/>
      <sz val="10"/>
      <color rgb="FF051C2C"/>
      <name val="等线"/>
    </font>
    <font>
      <b/>
      <sz val="11"/>
      <color rgb="FF051C2C"/>
      <name val="等线"/>
    </font>
    <font>
      <i/>
      <sz val="9"/>
      <color rgb="FF888888"/>
      <name val="Calibri"/>
      <family val="2"/>
      <charset val="134"/>
    </font>
    <font>
      <i/>
      <sz val="9"/>
      <color rgb="FFD32F2F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051C2C"/>
        <bgColor rgb="FF000000"/>
      </patternFill>
    </fill>
    <fill>
      <patternFill patternType="solid">
        <fgColor rgb="FFF5F5F2"/>
        <bgColor rgb="FFFFFFFF"/>
      </patternFill>
    </fill>
    <fill>
      <patternFill patternType="solid">
        <fgColor rgb="FF134E64"/>
        <bgColor rgb="FF333333"/>
      </patternFill>
    </fill>
    <fill>
      <patternFill patternType="solid">
        <fgColor rgb="FFDDEBF7"/>
        <bgColor rgb="FFF5F5F2"/>
      </patternFill>
    </fill>
    <fill>
      <patternFill patternType="solid">
        <fgColor rgb="FFCCCCCC"/>
        <bgColor rgb="FFCCCCFF"/>
      </patternFill>
    </fill>
    <fill>
      <patternFill patternType="solid">
        <fgColor rgb="FFFFFFFF"/>
        <bgColor rgb="FFF5F5F2"/>
      </patternFill>
    </fill>
  </fills>
  <borders count="5">
    <border>
      <left/>
      <right/>
      <top/>
      <bottom/>
      <diagonal/>
    </border>
    <border>
      <left style="thin">
        <color rgb="FF2251FF"/>
      </left>
      <right style="thin">
        <color rgb="FF2251FF"/>
      </right>
      <top style="thin">
        <color rgb="FF2251FF"/>
      </top>
      <bottom style="thin">
        <color rgb="FF2251FF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/>
      <right/>
      <top/>
      <bottom style="medium">
        <color rgb="FF051C2C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4" fillId="0" borderId="0" xfId="0" applyFont="1"/>
    <xf numFmtId="0" fontId="15" fillId="3" borderId="0" xfId="0" applyFont="1" applyFill="1" applyAlignment="1">
      <alignment horizontal="left" vertical="top"/>
    </xf>
    <xf numFmtId="0" fontId="16" fillId="3" borderId="0" xfId="0" applyFont="1" applyFill="1" applyAlignment="1">
      <alignment horizontal="left" vertical="top" wrapText="1"/>
    </xf>
    <xf numFmtId="0" fontId="17" fillId="3" borderId="0" xfId="0" applyFont="1" applyFill="1" applyAlignment="1">
      <alignment horizontal="left" vertical="top"/>
    </xf>
    <xf numFmtId="0" fontId="18" fillId="3" borderId="0" xfId="0" applyFont="1" applyFill="1" applyAlignment="1">
      <alignment horizontal="left" vertical="top"/>
    </xf>
    <xf numFmtId="0" fontId="19" fillId="3" borderId="0" xfId="0" applyFont="1" applyFill="1" applyAlignment="1">
      <alignment horizontal="left" vertical="top" wrapText="1"/>
    </xf>
    <xf numFmtId="0" fontId="20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49" fontId="22" fillId="5" borderId="1" xfId="0" applyNumberFormat="1" applyFont="1" applyFill="1" applyBorder="1" applyAlignment="1">
      <alignment horizontal="right" vertical="center"/>
    </xf>
    <xf numFmtId="0" fontId="23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 wrapText="1"/>
    </xf>
    <xf numFmtId="164" fontId="22" fillId="5" borderId="1" xfId="0" applyNumberFormat="1" applyFont="1" applyFill="1" applyBorder="1" applyAlignment="1">
      <alignment horizontal="right" vertical="center"/>
    </xf>
    <xf numFmtId="10" fontId="22" fillId="5" borderId="1" xfId="0" applyNumberFormat="1" applyFont="1" applyFill="1" applyBorder="1" applyAlignment="1">
      <alignment horizontal="right" vertical="center"/>
    </xf>
    <xf numFmtId="1" fontId="22" fillId="5" borderId="1" xfId="0" applyNumberFormat="1" applyFont="1" applyFill="1" applyBorder="1" applyAlignment="1">
      <alignment horizontal="right" vertical="center"/>
    </xf>
    <xf numFmtId="0" fontId="24" fillId="5" borderId="2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25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left" vertical="center"/>
    </xf>
    <xf numFmtId="10" fontId="16" fillId="3" borderId="3" xfId="0" applyNumberFormat="1" applyFont="1" applyFill="1" applyBorder="1" applyAlignment="1">
      <alignment horizontal="center" vertical="center"/>
    </xf>
    <xf numFmtId="49" fontId="28" fillId="3" borderId="3" xfId="0" applyNumberFormat="1" applyFont="1" applyFill="1" applyBorder="1" applyAlignment="1">
      <alignment horizontal="center" vertical="center"/>
    </xf>
    <xf numFmtId="165" fontId="24" fillId="5" borderId="1" xfId="0" applyNumberFormat="1" applyFont="1" applyFill="1" applyBorder="1" applyAlignment="1">
      <alignment horizontal="center" vertical="center"/>
    </xf>
    <xf numFmtId="9" fontId="29" fillId="2" borderId="0" xfId="0" applyNumberFormat="1" applyFont="1" applyFill="1" applyAlignment="1">
      <alignment horizontal="center" vertical="center"/>
    </xf>
    <xf numFmtId="1" fontId="29" fillId="4" borderId="0" xfId="0" applyNumberFormat="1" applyFont="1" applyFill="1" applyAlignment="1">
      <alignment horizontal="center" vertical="center"/>
    </xf>
    <xf numFmtId="10" fontId="16" fillId="3" borderId="2" xfId="0" applyNumberFormat="1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10" fontId="16" fillId="7" borderId="2" xfId="0" applyNumberFormat="1" applyFont="1" applyFill="1" applyBorder="1" applyAlignment="1">
      <alignment horizontal="center" vertical="center"/>
    </xf>
    <xf numFmtId="10" fontId="31" fillId="3" borderId="2" xfId="0" applyNumberFormat="1" applyFont="1" applyFill="1" applyBorder="1" applyAlignment="1">
      <alignment horizontal="right" vertical="center"/>
    </xf>
    <xf numFmtId="0" fontId="32" fillId="3" borderId="0" xfId="0" applyFont="1" applyFill="1" applyAlignment="1">
      <alignment horizontal="left" vertical="center" wrapText="1"/>
    </xf>
    <xf numFmtId="49" fontId="31" fillId="3" borderId="2" xfId="0" applyNumberFormat="1" applyFont="1" applyFill="1" applyBorder="1" applyAlignment="1">
      <alignment horizontal="right" vertical="center"/>
    </xf>
    <xf numFmtId="166" fontId="31" fillId="3" borderId="2" xfId="0" applyNumberFormat="1" applyFont="1" applyFill="1" applyBorder="1" applyAlignment="1">
      <alignment horizontal="right" vertical="center"/>
    </xf>
    <xf numFmtId="0" fontId="23" fillId="3" borderId="0" xfId="0" applyFont="1" applyFill="1" applyAlignment="1">
      <alignment horizontal="right" vertical="center"/>
    </xf>
    <xf numFmtId="167" fontId="17" fillId="3" borderId="0" xfId="0" applyNumberFormat="1" applyFont="1" applyFill="1" applyAlignment="1">
      <alignment horizontal="right" vertical="center"/>
    </xf>
    <xf numFmtId="0" fontId="16" fillId="3" borderId="3" xfId="0" applyFont="1" applyFill="1" applyBorder="1" applyAlignment="1">
      <alignment horizontal="left" vertical="center"/>
    </xf>
    <xf numFmtId="10" fontId="33" fillId="3" borderId="3" xfId="0" applyNumberFormat="1" applyFont="1" applyFill="1" applyBorder="1" applyAlignment="1">
      <alignment horizontal="center" vertical="center"/>
    </xf>
    <xf numFmtId="10" fontId="28" fillId="3" borderId="3" xfId="0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left" vertical="center"/>
    </xf>
    <xf numFmtId="10" fontId="33" fillId="7" borderId="3" xfId="0" applyNumberFormat="1" applyFont="1" applyFill="1" applyBorder="1" applyAlignment="1">
      <alignment horizontal="center" vertical="center"/>
    </xf>
    <xf numFmtId="10" fontId="28" fillId="7" borderId="3" xfId="0" applyNumberFormat="1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0" fontId="33" fillId="3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64" fontId="34" fillId="3" borderId="3" xfId="0" applyNumberFormat="1" applyFont="1" applyFill="1" applyBorder="1" applyAlignment="1">
      <alignment horizontal="right" vertical="center"/>
    </xf>
    <xf numFmtId="164" fontId="12" fillId="3" borderId="3" xfId="0" applyNumberFormat="1" applyFont="1" applyFill="1" applyBorder="1" applyAlignment="1">
      <alignment horizontal="right" vertical="center"/>
    </xf>
    <xf numFmtId="0" fontId="33" fillId="7" borderId="3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left" vertical="center"/>
    </xf>
    <xf numFmtId="10" fontId="34" fillId="7" borderId="3" xfId="0" applyNumberFormat="1" applyFont="1" applyFill="1" applyBorder="1" applyAlignment="1">
      <alignment horizontal="right" vertical="center"/>
    </xf>
    <xf numFmtId="10" fontId="12" fillId="7" borderId="3" xfId="0" applyNumberFormat="1" applyFont="1" applyFill="1" applyBorder="1" applyAlignment="1">
      <alignment horizontal="right" vertical="center"/>
    </xf>
    <xf numFmtId="0" fontId="21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49" fontId="21" fillId="3" borderId="3" xfId="0" applyNumberFormat="1" applyFont="1" applyFill="1" applyBorder="1" applyAlignment="1">
      <alignment horizontal="right" vertical="center"/>
    </xf>
    <xf numFmtId="49" fontId="5" fillId="3" borderId="3" xfId="0" applyNumberFormat="1" applyFont="1" applyFill="1" applyBorder="1" applyAlignment="1">
      <alignment horizontal="right" vertical="center"/>
    </xf>
    <xf numFmtId="0" fontId="21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49" fontId="21" fillId="7" borderId="3" xfId="0" applyNumberFormat="1" applyFont="1" applyFill="1" applyBorder="1" applyAlignment="1">
      <alignment horizontal="right" vertical="center"/>
    </xf>
    <xf numFmtId="49" fontId="5" fillId="7" borderId="3" xfId="0" applyNumberFormat="1" applyFont="1" applyFill="1" applyBorder="1" applyAlignment="1">
      <alignment horizontal="right" vertical="center"/>
    </xf>
    <xf numFmtId="166" fontId="21" fillId="3" borderId="3" xfId="0" applyNumberFormat="1" applyFont="1" applyFill="1" applyBorder="1" applyAlignment="1">
      <alignment horizontal="right" vertical="center"/>
    </xf>
    <xf numFmtId="166" fontId="5" fillId="3" borderId="3" xfId="0" applyNumberFormat="1" applyFont="1" applyFill="1" applyBorder="1" applyAlignment="1">
      <alignment horizontal="right" vertical="center"/>
    </xf>
    <xf numFmtId="166" fontId="21" fillId="7" borderId="3" xfId="0" applyNumberFormat="1" applyFont="1" applyFill="1" applyBorder="1" applyAlignment="1">
      <alignment horizontal="right" vertical="center"/>
    </xf>
    <xf numFmtId="166" fontId="5" fillId="7" borderId="3" xfId="0" applyNumberFormat="1" applyFont="1" applyFill="1" applyBorder="1" applyAlignment="1">
      <alignment horizontal="right" vertical="center"/>
    </xf>
    <xf numFmtId="0" fontId="33" fillId="3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166" fontId="34" fillId="3" borderId="4" xfId="0" applyNumberFormat="1" applyFont="1" applyFill="1" applyBorder="1" applyAlignment="1">
      <alignment horizontal="right" vertical="center"/>
    </xf>
    <xf numFmtId="166" fontId="12" fillId="3" borderId="4" xfId="0" applyNumberFormat="1" applyFont="1" applyFill="1" applyBorder="1" applyAlignment="1">
      <alignment horizontal="right" vertical="center"/>
    </xf>
    <xf numFmtId="0" fontId="33" fillId="7" borderId="4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166" fontId="34" fillId="7" borderId="4" xfId="0" applyNumberFormat="1" applyFont="1" applyFill="1" applyBorder="1" applyAlignment="1">
      <alignment horizontal="right" vertical="center"/>
    </xf>
    <xf numFmtId="166" fontId="12" fillId="7" borderId="4" xfId="0" applyNumberFormat="1" applyFont="1" applyFill="1" applyBorder="1" applyAlignment="1">
      <alignment horizontal="right" vertical="center"/>
    </xf>
    <xf numFmtId="0" fontId="16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1" fontId="33" fillId="3" borderId="3" xfId="0" applyNumberFormat="1" applyFont="1" applyFill="1" applyBorder="1" applyAlignment="1">
      <alignment horizontal="right" vertical="center"/>
    </xf>
    <xf numFmtId="1" fontId="11" fillId="3" borderId="3" xfId="0" applyNumberFormat="1" applyFont="1" applyFill="1" applyBorder="1" applyAlignment="1">
      <alignment horizontal="right" vertical="center"/>
    </xf>
    <xf numFmtId="0" fontId="27" fillId="3" borderId="0" xfId="0" applyFont="1" applyFill="1" applyAlignment="1">
      <alignment horizontal="left" vertical="center" wrapText="1"/>
    </xf>
    <xf numFmtId="0" fontId="36" fillId="3" borderId="0" xfId="0" applyFont="1" applyFill="1" applyAlignment="1">
      <alignment horizontal="left" vertical="center" wrapText="1"/>
    </xf>
    <xf numFmtId="0" fontId="16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49" fontId="33" fillId="7" borderId="3" xfId="0" applyNumberFormat="1" applyFont="1" applyFill="1" applyBorder="1" applyAlignment="1">
      <alignment horizontal="right" vertical="center"/>
    </xf>
    <xf numFmtId="49" fontId="11" fillId="7" borderId="3" xfId="0" applyNumberFormat="1" applyFont="1" applyFill="1" applyBorder="1" applyAlignment="1">
      <alignment horizontal="right" vertical="center"/>
    </xf>
    <xf numFmtId="164" fontId="33" fillId="3" borderId="3" xfId="0" applyNumberFormat="1" applyFont="1" applyFill="1" applyBorder="1" applyAlignment="1">
      <alignment horizontal="right" vertical="center"/>
    </xf>
    <xf numFmtId="164" fontId="11" fillId="3" borderId="3" xfId="0" applyNumberFormat="1" applyFont="1" applyFill="1" applyBorder="1" applyAlignment="1">
      <alignment horizontal="right" vertical="center"/>
    </xf>
    <xf numFmtId="0" fontId="32" fillId="3" borderId="0" xfId="0" applyFont="1" applyFill="1" applyAlignment="1">
      <alignment horizontal="left" vertical="center" wrapText="1"/>
    </xf>
    <xf numFmtId="0" fontId="35" fillId="3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23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13">
    <dxf>
      <font>
        <b/>
        <color rgb="FFFF8F00"/>
      </font>
    </dxf>
    <dxf>
      <font>
        <b/>
        <color rgb="FFD32F2F"/>
      </font>
    </dxf>
    <dxf>
      <font>
        <b/>
        <color rgb="FF00C853"/>
      </font>
    </dxf>
    <dxf>
      <font>
        <b/>
        <color rgb="FFD32F2F"/>
      </font>
    </dxf>
    <dxf>
      <font>
        <b/>
        <sz val="26"/>
        <color rgb="FFFFFFFF"/>
      </font>
      <fill>
        <patternFill>
          <bgColor rgb="FFFF8F00"/>
        </patternFill>
      </fill>
    </dxf>
    <dxf>
      <font>
        <b/>
        <sz val="26"/>
        <color rgb="FFFFFFFF"/>
      </font>
      <fill>
        <patternFill>
          <bgColor rgb="FFD32F2F"/>
        </patternFill>
      </fill>
    </dxf>
    <dxf>
      <font>
        <b/>
        <sz val="26"/>
        <color rgb="FFFFFFFF"/>
      </font>
      <fill>
        <patternFill>
          <bgColor rgb="FF00C853"/>
        </patternFill>
      </fill>
    </dxf>
    <dxf>
      <font>
        <b/>
        <color rgb="FF00C853"/>
      </font>
    </dxf>
    <dxf>
      <font>
        <b/>
        <color rgb="FFD32F2F"/>
      </font>
    </dxf>
    <dxf>
      <font>
        <b/>
        <color rgb="FFFF8F00"/>
      </font>
    </dxf>
    <dxf>
      <font>
        <b/>
        <color rgb="FFFF8F00"/>
      </font>
    </dxf>
    <dxf>
      <font>
        <b/>
        <color rgb="FFD32F2F"/>
      </font>
    </dxf>
    <dxf>
      <font>
        <b/>
        <color rgb="FF00C853"/>
      </font>
    </dxf>
  </dxfs>
  <tableStyles count="1" defaultTableStyle="TableStyleMedium2" defaultPivotStyle="PivotStyleLight16">
    <tableStyle name="Invisible" pivot="0" table="0" count="0" xr9:uid="{7C3460A5-1937-4740-AAC0-3514A4B17D65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251FF"/>
      <rgbColor rgb="FF33CCCC"/>
      <rgbColor rgb="FF99CC00"/>
      <rgbColor rgb="FFFFCC00"/>
      <rgbColor rgb="FFFF8F00"/>
      <rgbColor rgb="FFFF6600"/>
      <rgbColor rgb="FF666699"/>
      <rgbColor rgb="FF969696"/>
      <rgbColor rgb="FF134E64"/>
      <rgbColor rgb="FF00C853"/>
      <rgbColor rgb="FF051C2C"/>
      <rgbColor rgb="FF333300"/>
      <rgbColor rgb="FFD32F2F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showGridLines="0" topLeftCell="A8" zoomScaleNormal="100" workbookViewId="0">
      <selection activeCell="B5" sqref="B5:B8"/>
    </sheetView>
  </sheetViews>
  <sheetFormatPr defaultColWidth="8.6640625" defaultRowHeight="14.25"/>
  <cols>
    <col min="1" max="1" width="3" customWidth="1"/>
    <col min="2" max="2" width="22" customWidth="1"/>
    <col min="3" max="3" width="60" customWidth="1"/>
    <col min="4" max="4" width="16" customWidth="1"/>
  </cols>
  <sheetData>
    <row r="1" spans="1:4" ht="36" customHeight="1">
      <c r="A1" s="43" t="s">
        <v>0</v>
      </c>
      <c r="B1" s="43"/>
      <c r="C1" s="43"/>
      <c r="D1" s="43"/>
    </row>
    <row r="2" spans="1:4" ht="18" customHeight="1">
      <c r="A2" s="89" t="s">
        <v>1</v>
      </c>
      <c r="B2" s="90"/>
      <c r="C2" s="90"/>
      <c r="D2" s="90"/>
    </row>
    <row r="3" spans="1:4" ht="7.5" customHeight="1">
      <c r="A3" s="2"/>
      <c r="B3" s="2"/>
      <c r="C3" s="2"/>
      <c r="D3" s="2"/>
    </row>
    <row r="4" spans="1:4" ht="18" customHeight="1">
      <c r="A4" s="45" t="s">
        <v>2</v>
      </c>
      <c r="B4" s="45"/>
      <c r="C4" s="45"/>
      <c r="D4" s="45"/>
    </row>
    <row r="5" spans="1:4" ht="39.75" customHeight="1">
      <c r="A5" s="2"/>
      <c r="B5" s="3" t="s">
        <v>3</v>
      </c>
      <c r="C5" s="4" t="s">
        <v>4</v>
      </c>
      <c r="D5" s="2"/>
    </row>
    <row r="6" spans="1:4" ht="39.75" customHeight="1">
      <c r="A6" s="2"/>
      <c r="B6" s="3" t="s">
        <v>5</v>
      </c>
      <c r="C6" s="4" t="s">
        <v>6</v>
      </c>
      <c r="D6" s="2"/>
    </row>
    <row r="7" spans="1:4" ht="39.75" customHeight="1">
      <c r="A7" s="2"/>
      <c r="B7" s="3" t="s">
        <v>7</v>
      </c>
      <c r="C7" s="4" t="s">
        <v>8</v>
      </c>
      <c r="D7" s="2"/>
    </row>
    <row r="8" spans="1:4" ht="39.75" customHeight="1">
      <c r="A8" s="2"/>
      <c r="B8" s="3" t="s">
        <v>9</v>
      </c>
      <c r="C8" s="4" t="s">
        <v>10</v>
      </c>
      <c r="D8" s="2"/>
    </row>
    <row r="9" spans="1:4" ht="7.5" customHeight="1">
      <c r="A9" s="2"/>
      <c r="B9" s="2"/>
      <c r="C9" s="2"/>
      <c r="D9" s="2"/>
    </row>
    <row r="10" spans="1:4" ht="18" customHeight="1">
      <c r="A10" s="45" t="s">
        <v>11</v>
      </c>
      <c r="B10" s="45"/>
      <c r="C10" s="45"/>
      <c r="D10" s="45"/>
    </row>
    <row r="11" spans="1:4" ht="30" customHeight="1">
      <c r="A11" s="2"/>
      <c r="B11" s="5" t="s">
        <v>12</v>
      </c>
      <c r="C11" s="4" t="s">
        <v>13</v>
      </c>
      <c r="D11" s="2"/>
    </row>
    <row r="12" spans="1:4" ht="30" customHeight="1">
      <c r="A12" s="2"/>
      <c r="B12" s="5" t="s">
        <v>14</v>
      </c>
      <c r="C12" s="4" t="s">
        <v>15</v>
      </c>
      <c r="D12" s="2"/>
    </row>
    <row r="13" spans="1:4" ht="30" customHeight="1">
      <c r="A13" s="2"/>
      <c r="B13" s="6" t="s">
        <v>16</v>
      </c>
      <c r="C13" s="7" t="s">
        <v>17</v>
      </c>
      <c r="D13" s="2"/>
    </row>
    <row r="14" spans="1:4" ht="30" customHeight="1">
      <c r="A14" s="2"/>
      <c r="B14" s="6" t="s">
        <v>18</v>
      </c>
      <c r="C14" s="7" t="s">
        <v>19</v>
      </c>
      <c r="D14" s="2"/>
    </row>
    <row r="15" spans="1:4" ht="30" customHeight="1">
      <c r="A15" s="2"/>
      <c r="B15" s="5" t="s">
        <v>20</v>
      </c>
      <c r="C15" s="4" t="s">
        <v>21</v>
      </c>
      <c r="D15" s="2"/>
    </row>
    <row r="16" spans="1:4" ht="7.5" customHeight="1">
      <c r="A16" s="2"/>
      <c r="B16" s="2"/>
      <c r="C16" s="2"/>
      <c r="D16" s="2"/>
    </row>
    <row r="17" spans="1:4" ht="18" customHeight="1">
      <c r="A17" s="45" t="s">
        <v>22</v>
      </c>
      <c r="B17" s="45"/>
      <c r="C17" s="45"/>
      <c r="D17" s="45"/>
    </row>
    <row r="18" spans="1:4" ht="43.5" customHeight="1">
      <c r="A18" s="2"/>
      <c r="B18" s="6" t="s">
        <v>23</v>
      </c>
      <c r="C18" s="4" t="s">
        <v>24</v>
      </c>
      <c r="D18" s="2"/>
    </row>
    <row r="19" spans="1:4" ht="43.5" customHeight="1">
      <c r="A19" s="2"/>
      <c r="B19" s="6" t="s">
        <v>25</v>
      </c>
      <c r="C19" s="4" t="s">
        <v>26</v>
      </c>
      <c r="D19" s="2"/>
    </row>
    <row r="20" spans="1:4" ht="43.5" customHeight="1">
      <c r="A20" s="2"/>
      <c r="B20" s="6" t="s">
        <v>27</v>
      </c>
      <c r="C20" s="4" t="s">
        <v>28</v>
      </c>
      <c r="D20" s="2"/>
    </row>
    <row r="21" spans="1:4" ht="43.5" customHeight="1">
      <c r="A21" s="2"/>
      <c r="B21" s="6" t="s">
        <v>29</v>
      </c>
      <c r="C21" s="4" t="s">
        <v>30</v>
      </c>
      <c r="D21" s="2"/>
    </row>
    <row r="22" spans="1:4" ht="43.5" customHeight="1">
      <c r="A22" s="2"/>
      <c r="B22" s="6" t="s">
        <v>31</v>
      </c>
      <c r="C22" s="4" t="s">
        <v>32</v>
      </c>
      <c r="D22" s="2"/>
    </row>
    <row r="23" spans="1:4" ht="7.5" customHeight="1">
      <c r="A23" s="2"/>
      <c r="B23" s="2"/>
      <c r="C23" s="2"/>
      <c r="D23" s="2"/>
    </row>
    <row r="24" spans="1:4" ht="18" customHeight="1">
      <c r="A24" s="45" t="s">
        <v>33</v>
      </c>
      <c r="B24" s="45"/>
      <c r="C24" s="45"/>
      <c r="D24" s="45"/>
    </row>
    <row r="25" spans="1:4" ht="15.75" customHeight="1">
      <c r="A25" s="2"/>
      <c r="B25" s="8" t="s">
        <v>34</v>
      </c>
      <c r="C25" s="8" t="s">
        <v>35</v>
      </c>
      <c r="D25" s="8" t="s">
        <v>36</v>
      </c>
    </row>
    <row r="26" spans="1:4" ht="15.75" customHeight="1">
      <c r="A26" s="2"/>
      <c r="B26" s="9" t="s">
        <v>37</v>
      </c>
      <c r="C26" s="9" t="s">
        <v>38</v>
      </c>
      <c r="D26" s="9" t="s">
        <v>39</v>
      </c>
    </row>
    <row r="27" spans="1:4" ht="15.75" customHeight="1">
      <c r="A27" s="2"/>
      <c r="B27" s="10"/>
      <c r="C27" s="10"/>
      <c r="D27" s="10"/>
    </row>
    <row r="28" spans="1:4" ht="15.75" customHeight="1">
      <c r="A28" s="2"/>
      <c r="B28" s="10"/>
      <c r="C28" s="10"/>
      <c r="D28" s="10"/>
    </row>
    <row r="29" spans="1:4" ht="15.75" customHeight="1">
      <c r="A29" s="2"/>
      <c r="B29" s="10"/>
      <c r="C29" s="10"/>
      <c r="D29" s="10"/>
    </row>
    <row r="30" spans="1:4" ht="15.75" customHeight="1">
      <c r="A30" s="2"/>
      <c r="B30" s="10"/>
      <c r="C30" s="10"/>
      <c r="D30" s="10"/>
    </row>
    <row r="31" spans="1:4" ht="15.75" customHeight="1">
      <c r="A31" s="2"/>
      <c r="B31" s="10"/>
      <c r="C31" s="10"/>
      <c r="D31" s="10"/>
    </row>
    <row r="32" spans="1:4" ht="14.25" customHeight="1">
      <c r="A32" s="2"/>
      <c r="B32" s="2"/>
      <c r="C32" s="2"/>
      <c r="D32" s="2"/>
    </row>
    <row r="33" spans="1:4" ht="14.25" customHeight="1">
      <c r="A33" s="2"/>
      <c r="B33" s="2"/>
      <c r="C33" s="2"/>
      <c r="D33" s="2"/>
    </row>
    <row r="34" spans="1:4" ht="14.25" customHeight="1">
      <c r="A34" s="2"/>
      <c r="B34" s="2"/>
      <c r="C34" s="2"/>
      <c r="D34" s="2"/>
    </row>
    <row r="35" spans="1:4" ht="14.25" customHeight="1">
      <c r="A35" s="2"/>
      <c r="B35" s="2"/>
      <c r="C35" s="2"/>
      <c r="D35" s="2"/>
    </row>
    <row r="36" spans="1:4" ht="14.25" customHeight="1">
      <c r="A36" s="2"/>
      <c r="B36" s="2"/>
      <c r="C36" s="2"/>
      <c r="D36" s="2"/>
    </row>
    <row r="37" spans="1:4" ht="14.25" customHeight="1">
      <c r="A37" s="2"/>
      <c r="B37" s="2"/>
      <c r="C37" s="2"/>
      <c r="D37" s="2"/>
    </row>
    <row r="38" spans="1:4" ht="14.25" customHeight="1">
      <c r="A38" s="2"/>
      <c r="B38" s="2"/>
      <c r="C38" s="2"/>
      <c r="D38" s="2"/>
    </row>
    <row r="39" spans="1:4" ht="14.25" customHeight="1">
      <c r="A39" s="2"/>
      <c r="B39" s="2"/>
      <c r="C39" s="2"/>
      <c r="D39" s="2"/>
    </row>
    <row r="40" spans="1:4" ht="14.25" customHeight="1">
      <c r="A40" s="2"/>
      <c r="B40" s="2"/>
      <c r="C40" s="2"/>
      <c r="D40" s="2"/>
    </row>
    <row r="41" spans="1:4" ht="14.25" customHeight="1">
      <c r="A41" s="2"/>
      <c r="B41" s="2"/>
      <c r="C41" s="2"/>
      <c r="D41" s="2"/>
    </row>
    <row r="42" spans="1:4" ht="14.25" customHeight="1">
      <c r="A42" s="2"/>
      <c r="B42" s="2"/>
      <c r="C42" s="2"/>
      <c r="D42" s="2"/>
    </row>
    <row r="43" spans="1:4" ht="14.25" customHeight="1">
      <c r="A43" s="2"/>
      <c r="B43" s="2"/>
      <c r="C43" s="2"/>
      <c r="D43" s="2"/>
    </row>
    <row r="44" spans="1:4" ht="14.25" customHeight="1">
      <c r="A44" s="2"/>
      <c r="B44" s="2"/>
      <c r="C44" s="2"/>
      <c r="D44" s="2"/>
    </row>
    <row r="45" spans="1:4" ht="14.25" customHeight="1">
      <c r="A45" s="2"/>
      <c r="B45" s="2"/>
      <c r="C45" s="2"/>
      <c r="D45" s="2"/>
    </row>
    <row r="46" spans="1:4" ht="14.25" customHeight="1">
      <c r="A46" s="2"/>
      <c r="B46" s="2"/>
      <c r="C46" s="2"/>
      <c r="D46" s="2"/>
    </row>
    <row r="47" spans="1:4" ht="14.25" customHeight="1">
      <c r="A47" s="2"/>
      <c r="B47" s="2"/>
      <c r="C47" s="2"/>
      <c r="D47" s="2"/>
    </row>
    <row r="48" spans="1:4" ht="14.25" customHeight="1">
      <c r="A48" s="2"/>
      <c r="B48" s="2"/>
      <c r="C48" s="2"/>
      <c r="D48" s="2"/>
    </row>
    <row r="49" spans="1:4" ht="14.25" customHeight="1">
      <c r="A49" s="2"/>
      <c r="B49" s="2"/>
      <c r="C49" s="2"/>
      <c r="D49" s="2"/>
    </row>
    <row r="50" spans="1:4" ht="14.25" customHeight="1">
      <c r="A50" s="2"/>
      <c r="B50" s="2"/>
      <c r="C50" s="2"/>
      <c r="D50" s="2"/>
    </row>
    <row r="51" spans="1:4" ht="14.25" customHeight="1">
      <c r="A51" s="2"/>
      <c r="B51" s="2"/>
      <c r="C51" s="2"/>
      <c r="D51" s="2"/>
    </row>
    <row r="52" spans="1:4" ht="14.25" customHeight="1">
      <c r="A52" s="2"/>
      <c r="B52" s="2"/>
      <c r="C52" s="2"/>
      <c r="D52" s="2"/>
    </row>
    <row r="53" spans="1:4" ht="14.25" customHeight="1">
      <c r="A53" s="2"/>
      <c r="B53" s="2"/>
      <c r="C53" s="2"/>
      <c r="D53" s="2"/>
    </row>
    <row r="54" spans="1:4" ht="14.25" customHeight="1">
      <c r="A54" s="2"/>
      <c r="B54" s="2"/>
      <c r="C54" s="2"/>
      <c r="D54" s="2"/>
    </row>
    <row r="55" spans="1:4" ht="14.25" customHeight="1">
      <c r="A55" s="2"/>
      <c r="B55" s="2"/>
      <c r="C55" s="2"/>
      <c r="D55" s="2"/>
    </row>
    <row r="56" spans="1:4" ht="14.25" customHeight="1">
      <c r="A56" s="2"/>
      <c r="B56" s="2"/>
      <c r="C56" s="2"/>
      <c r="D56" s="2"/>
    </row>
    <row r="57" spans="1:4" ht="14.25" customHeight="1">
      <c r="A57" s="2"/>
      <c r="B57" s="2"/>
      <c r="C57" s="2"/>
      <c r="D57" s="2"/>
    </row>
    <row r="58" spans="1:4" ht="14.25" customHeight="1">
      <c r="A58" s="2"/>
      <c r="B58" s="2"/>
      <c r="C58" s="2"/>
      <c r="D58" s="2"/>
    </row>
    <row r="59" spans="1:4" ht="14.25" customHeight="1">
      <c r="A59" s="2"/>
      <c r="B59" s="2"/>
      <c r="C59" s="2"/>
      <c r="D59" s="2"/>
    </row>
  </sheetData>
  <mergeCells count="6">
    <mergeCell ref="A24:D24"/>
    <mergeCell ref="A1:D1"/>
    <mergeCell ref="A2:D2"/>
    <mergeCell ref="A4:D4"/>
    <mergeCell ref="A10:D10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"/>
  <sheetViews>
    <sheetView showGridLines="0" zoomScaleNormal="100" workbookViewId="0">
      <selection activeCell="C28" sqref="C28"/>
    </sheetView>
  </sheetViews>
  <sheetFormatPr defaultColWidth="8.6640625" defaultRowHeight="14.25"/>
  <cols>
    <col min="1" max="1" width="3" customWidth="1"/>
    <col min="2" max="2" width="30" customWidth="1"/>
    <col min="3" max="3" width="22" customWidth="1"/>
    <col min="4" max="4" width="12" customWidth="1"/>
    <col min="5" max="5" width="36" customWidth="1"/>
  </cols>
  <sheetData>
    <row r="1" spans="1:5" ht="36" customHeight="1">
      <c r="A1" s="43" t="s">
        <v>40</v>
      </c>
      <c r="B1" s="43"/>
      <c r="C1" s="43"/>
      <c r="D1" s="43"/>
      <c r="E1" s="43"/>
    </row>
    <row r="2" spans="1:5" ht="18" customHeight="1">
      <c r="A2" s="89" t="s">
        <v>41</v>
      </c>
      <c r="B2" s="90"/>
      <c r="C2" s="90"/>
      <c r="D2" s="90"/>
      <c r="E2" s="90"/>
    </row>
    <row r="3" spans="1:5" ht="7.5" customHeight="1">
      <c r="A3" s="2"/>
      <c r="B3" s="2"/>
      <c r="C3" s="2"/>
      <c r="D3" s="2"/>
      <c r="E3" s="2"/>
    </row>
    <row r="4" spans="1:5" ht="18" customHeight="1">
      <c r="A4" s="45" t="s">
        <v>42</v>
      </c>
      <c r="B4" s="45"/>
      <c r="C4" s="45"/>
      <c r="D4" s="45"/>
      <c r="E4" s="45"/>
    </row>
    <row r="5" spans="1:5" ht="21.75" customHeight="1">
      <c r="A5" s="2"/>
      <c r="B5" s="10" t="s">
        <v>43</v>
      </c>
      <c r="C5" s="11" t="s">
        <v>86</v>
      </c>
      <c r="D5" s="12" t="s">
        <v>44</v>
      </c>
      <c r="E5" s="13" t="s">
        <v>45</v>
      </c>
    </row>
    <row r="6" spans="1:5" ht="6" customHeight="1">
      <c r="A6" s="2"/>
      <c r="B6" s="2"/>
      <c r="C6" s="2"/>
      <c r="D6" s="2"/>
      <c r="E6" s="2"/>
    </row>
    <row r="7" spans="1:5" ht="18" customHeight="1">
      <c r="A7" s="45" t="s">
        <v>46</v>
      </c>
      <c r="B7" s="45"/>
      <c r="C7" s="45"/>
      <c r="D7" s="45"/>
      <c r="E7" s="45"/>
    </row>
    <row r="8" spans="1:5" ht="21.75" customHeight="1">
      <c r="A8" s="2"/>
      <c r="B8" s="10" t="s">
        <v>47</v>
      </c>
      <c r="C8" s="14"/>
      <c r="D8" s="12" t="s">
        <v>48</v>
      </c>
      <c r="E8" s="13" t="s">
        <v>49</v>
      </c>
    </row>
    <row r="9" spans="1:5" ht="21.75" customHeight="1">
      <c r="A9" s="2"/>
      <c r="B9" s="10" t="s">
        <v>50</v>
      </c>
      <c r="C9" s="14"/>
      <c r="D9" s="12" t="s">
        <v>48</v>
      </c>
      <c r="E9" s="13" t="s">
        <v>51</v>
      </c>
    </row>
    <row r="10" spans="1:5" ht="21.75" customHeight="1">
      <c r="A10" s="2"/>
      <c r="B10" s="10" t="s">
        <v>52</v>
      </c>
      <c r="C10" s="14"/>
      <c r="D10" s="12" t="s">
        <v>48</v>
      </c>
      <c r="E10" s="13" t="s">
        <v>53</v>
      </c>
    </row>
    <row r="11" spans="1:5" ht="21.75" customHeight="1">
      <c r="A11" s="2"/>
      <c r="B11" s="10" t="s">
        <v>54</v>
      </c>
      <c r="C11" s="14"/>
      <c r="D11" s="12" t="s">
        <v>48</v>
      </c>
      <c r="E11" s="13" t="s">
        <v>55</v>
      </c>
    </row>
    <row r="12" spans="1:5" ht="6" customHeight="1">
      <c r="A12" s="2"/>
      <c r="B12" s="2"/>
      <c r="C12" s="2"/>
      <c r="D12" s="2"/>
      <c r="E12" s="2"/>
    </row>
    <row r="13" spans="1:5" ht="18" customHeight="1">
      <c r="A13" s="45" t="s">
        <v>56</v>
      </c>
      <c r="B13" s="45"/>
      <c r="C13" s="45"/>
      <c r="D13" s="45"/>
      <c r="E13" s="45"/>
    </row>
    <row r="14" spans="1:5" ht="21.75" customHeight="1">
      <c r="A14" s="2"/>
      <c r="B14" s="10" t="s">
        <v>57</v>
      </c>
      <c r="C14" s="14"/>
      <c r="D14" s="12" t="s">
        <v>48</v>
      </c>
      <c r="E14" s="13" t="s">
        <v>58</v>
      </c>
    </row>
    <row r="15" spans="1:5" ht="21.75" customHeight="1">
      <c r="A15" s="2"/>
      <c r="B15" s="10" t="s">
        <v>59</v>
      </c>
      <c r="C15" s="15"/>
      <c r="D15" s="12" t="s">
        <v>60</v>
      </c>
      <c r="E15" s="13" t="s">
        <v>61</v>
      </c>
    </row>
    <row r="16" spans="1:5" ht="6" customHeight="1">
      <c r="A16" s="2"/>
      <c r="B16" s="2"/>
      <c r="C16" s="2"/>
      <c r="D16" s="2"/>
      <c r="E16" s="2"/>
    </row>
    <row r="17" spans="1:5" ht="18" customHeight="1">
      <c r="A17" s="45" t="s">
        <v>62</v>
      </c>
      <c r="B17" s="45"/>
      <c r="C17" s="45"/>
      <c r="D17" s="45"/>
      <c r="E17" s="45"/>
    </row>
    <row r="18" spans="1:5" ht="21.75" customHeight="1">
      <c r="A18" s="2"/>
      <c r="B18" s="10" t="s">
        <v>63</v>
      </c>
      <c r="C18" s="16"/>
      <c r="D18" s="12" t="s">
        <v>64</v>
      </c>
      <c r="E18" s="13" t="s">
        <v>65</v>
      </c>
    </row>
    <row r="19" spans="1:5" ht="21.75" customHeight="1">
      <c r="A19" s="2"/>
      <c r="B19" s="10" t="s">
        <v>66</v>
      </c>
      <c r="C19" s="11"/>
      <c r="D19" s="12" t="s">
        <v>44</v>
      </c>
      <c r="E19" s="13" t="s">
        <v>67</v>
      </c>
    </row>
    <row r="20" spans="1:5" ht="21.75" customHeight="1">
      <c r="A20" s="2"/>
      <c r="B20" s="10" t="s">
        <v>68</v>
      </c>
      <c r="C20" s="14"/>
      <c r="D20" s="12" t="s">
        <v>48</v>
      </c>
      <c r="E20" s="13" t="s">
        <v>69</v>
      </c>
    </row>
    <row r="21" spans="1:5" ht="6" customHeight="1">
      <c r="A21" s="2"/>
      <c r="B21" s="2"/>
      <c r="C21" s="2"/>
      <c r="D21" s="2"/>
      <c r="E21" s="2"/>
    </row>
    <row r="22" spans="1:5" ht="18" customHeight="1">
      <c r="A22" s="45" t="s">
        <v>70</v>
      </c>
      <c r="B22" s="45"/>
      <c r="C22" s="45"/>
      <c r="D22" s="45"/>
      <c r="E22" s="45"/>
    </row>
    <row r="23" spans="1:5" ht="21.75" customHeight="1">
      <c r="A23" s="2"/>
      <c r="B23" s="10" t="s">
        <v>71</v>
      </c>
      <c r="C23" s="16"/>
      <c r="D23" s="12" t="s">
        <v>64</v>
      </c>
      <c r="E23" s="13" t="s">
        <v>72</v>
      </c>
    </row>
    <row r="24" spans="1:5" ht="21.75" customHeight="1">
      <c r="A24" s="2"/>
      <c r="B24" s="10" t="s">
        <v>73</v>
      </c>
      <c r="C24" s="16"/>
      <c r="D24" s="12" t="s">
        <v>64</v>
      </c>
      <c r="E24" s="13" t="s">
        <v>74</v>
      </c>
    </row>
    <row r="25" spans="1:5" ht="7.5" customHeight="1">
      <c r="A25" s="2"/>
      <c r="B25" s="2"/>
      <c r="C25" s="2"/>
      <c r="D25" s="2"/>
      <c r="E25" s="2"/>
    </row>
    <row r="26" spans="1:5" ht="18" customHeight="1">
      <c r="A26" s="45" t="s">
        <v>75</v>
      </c>
      <c r="B26" s="45"/>
      <c r="C26" s="45"/>
      <c r="D26" s="45"/>
      <c r="E26" s="45"/>
    </row>
    <row r="27" spans="1:5" ht="18" customHeight="1">
      <c r="A27" s="2"/>
      <c r="B27" s="2"/>
      <c r="C27" s="17" t="s">
        <v>76</v>
      </c>
      <c r="D27" s="93" t="s">
        <v>77</v>
      </c>
      <c r="E27" s="94"/>
    </row>
    <row r="28" spans="1:5" ht="18" customHeight="1">
      <c r="A28" s="2"/>
      <c r="B28" s="2"/>
      <c r="C28" s="19" t="s">
        <v>76</v>
      </c>
      <c r="D28" s="93" t="s">
        <v>78</v>
      </c>
      <c r="E28" s="94"/>
    </row>
    <row r="29" spans="1:5" ht="6" customHeight="1">
      <c r="A29" s="2"/>
      <c r="B29" s="2"/>
      <c r="C29" s="2"/>
      <c r="D29" s="2"/>
      <c r="E29" s="2"/>
    </row>
    <row r="30" spans="1:5" ht="27.75" customHeight="1">
      <c r="A30" s="2"/>
      <c r="B30" s="91" t="s">
        <v>79</v>
      </c>
      <c r="C30" s="92"/>
      <c r="D30" s="92"/>
      <c r="E30" s="92"/>
    </row>
    <row r="31" spans="1:5" ht="14.25" customHeight="1">
      <c r="A31" s="2"/>
      <c r="B31" s="2"/>
      <c r="C31" s="2"/>
      <c r="D31" s="2"/>
      <c r="E31" s="2"/>
    </row>
    <row r="32" spans="1:5" ht="14.25" customHeight="1">
      <c r="A32" s="2"/>
      <c r="B32" s="2"/>
      <c r="C32" s="2"/>
      <c r="D32" s="2"/>
      <c r="E32" s="2"/>
    </row>
    <row r="33" spans="1:5" ht="14.25" customHeight="1">
      <c r="A33" s="2"/>
      <c r="B33" s="2"/>
      <c r="C33" s="2"/>
      <c r="D33" s="2"/>
      <c r="E33" s="2"/>
    </row>
    <row r="34" spans="1:5" ht="14.25" customHeight="1">
      <c r="A34" s="2"/>
      <c r="B34" s="2"/>
      <c r="C34" s="2"/>
      <c r="D34" s="2"/>
      <c r="E34" s="2"/>
    </row>
    <row r="35" spans="1:5" ht="14.25" customHeight="1">
      <c r="A35" s="2"/>
      <c r="B35" s="2"/>
      <c r="C35" s="2"/>
      <c r="D35" s="2"/>
      <c r="E35" s="2"/>
    </row>
    <row r="36" spans="1:5" ht="14.25" customHeight="1">
      <c r="A36" s="2"/>
      <c r="B36" s="2"/>
      <c r="C36" s="2"/>
      <c r="D36" s="2"/>
      <c r="E36" s="2"/>
    </row>
    <row r="37" spans="1:5" ht="14.25" customHeight="1">
      <c r="A37" s="2"/>
      <c r="B37" s="2"/>
      <c r="C37" s="2"/>
      <c r="D37" s="2"/>
      <c r="E37" s="2"/>
    </row>
    <row r="38" spans="1:5" ht="14.25" customHeight="1">
      <c r="A38" s="2"/>
      <c r="B38" s="2"/>
      <c r="C38" s="2"/>
      <c r="D38" s="2"/>
      <c r="E38" s="2"/>
    </row>
    <row r="39" spans="1:5" ht="14.25" customHeight="1">
      <c r="A39" s="2"/>
      <c r="B39" s="2"/>
      <c r="C39" s="2"/>
      <c r="D39" s="2"/>
      <c r="E39" s="2"/>
    </row>
    <row r="40" spans="1:5" ht="14.25" customHeight="1">
      <c r="A40" s="2"/>
      <c r="B40" s="2"/>
      <c r="C40" s="2"/>
      <c r="D40" s="2"/>
      <c r="E40" s="2"/>
    </row>
    <row r="41" spans="1:5" ht="14.25" customHeight="1">
      <c r="A41" s="2"/>
      <c r="B41" s="2"/>
      <c r="C41" s="2"/>
      <c r="D41" s="2"/>
      <c r="E41" s="2"/>
    </row>
    <row r="42" spans="1:5" ht="14.25" customHeight="1">
      <c r="A42" s="2"/>
      <c r="B42" s="2"/>
      <c r="C42" s="2"/>
      <c r="D42" s="2"/>
      <c r="E42" s="2"/>
    </row>
    <row r="43" spans="1:5" ht="14.25" customHeight="1">
      <c r="A43" s="2"/>
      <c r="B43" s="2"/>
      <c r="C43" s="2"/>
      <c r="D43" s="2"/>
      <c r="E43" s="2"/>
    </row>
    <row r="44" spans="1:5" ht="14.25" customHeight="1">
      <c r="A44" s="2"/>
      <c r="B44" s="2"/>
      <c r="C44" s="2"/>
      <c r="D44" s="2"/>
      <c r="E44" s="2"/>
    </row>
    <row r="45" spans="1:5" ht="14.25" customHeight="1">
      <c r="A45" s="2"/>
      <c r="B45" s="2"/>
      <c r="C45" s="2"/>
      <c r="D45" s="2"/>
      <c r="E45" s="2"/>
    </row>
    <row r="46" spans="1:5" ht="14.25" customHeight="1">
      <c r="A46" s="2"/>
      <c r="B46" s="2"/>
      <c r="C46" s="2"/>
      <c r="D46" s="2"/>
      <c r="E46" s="2"/>
    </row>
    <row r="47" spans="1:5" ht="14.25" customHeight="1">
      <c r="A47" s="2"/>
      <c r="B47" s="2"/>
      <c r="C47" s="2"/>
      <c r="D47" s="2"/>
      <c r="E47" s="2"/>
    </row>
    <row r="48" spans="1:5" ht="14.25" customHeight="1">
      <c r="A48" s="2"/>
      <c r="B48" s="2"/>
      <c r="C48" s="2"/>
      <c r="D48" s="2"/>
      <c r="E48" s="2"/>
    </row>
    <row r="49" spans="1:5" ht="14.25" customHeight="1">
      <c r="A49" s="2"/>
      <c r="B49" s="2"/>
      <c r="C49" s="2"/>
      <c r="D49" s="2"/>
      <c r="E49" s="2"/>
    </row>
    <row r="50" spans="1:5" ht="14.25" customHeight="1">
      <c r="A50" s="2"/>
      <c r="B50" s="2"/>
      <c r="C50" s="2"/>
      <c r="D50" s="2"/>
      <c r="E50" s="2"/>
    </row>
    <row r="51" spans="1:5" ht="14.25" customHeight="1">
      <c r="A51" s="2"/>
      <c r="B51" s="2"/>
      <c r="C51" s="2"/>
      <c r="D51" s="2"/>
      <c r="E51" s="2"/>
    </row>
    <row r="52" spans="1:5" ht="14.25" customHeight="1">
      <c r="A52" s="2"/>
      <c r="B52" s="2"/>
      <c r="C52" s="2"/>
      <c r="D52" s="2"/>
      <c r="E52" s="2"/>
    </row>
    <row r="53" spans="1:5" ht="14.25" customHeight="1">
      <c r="A53" s="2"/>
      <c r="B53" s="2"/>
      <c r="C53" s="2"/>
      <c r="D53" s="2"/>
      <c r="E53" s="2"/>
    </row>
    <row r="54" spans="1:5" ht="14.25" customHeight="1">
      <c r="A54" s="2"/>
      <c r="B54" s="2"/>
      <c r="C54" s="2"/>
      <c r="D54" s="2"/>
      <c r="E54" s="2"/>
    </row>
    <row r="55" spans="1:5" ht="14.25" customHeight="1">
      <c r="A55" s="2"/>
      <c r="B55" s="2"/>
      <c r="C55" s="2"/>
      <c r="D55" s="2"/>
      <c r="E55" s="2"/>
    </row>
    <row r="56" spans="1:5" ht="14.25" customHeight="1">
      <c r="A56" s="2"/>
      <c r="B56" s="2"/>
      <c r="C56" s="2"/>
      <c r="D56" s="2"/>
      <c r="E56" s="2"/>
    </row>
    <row r="57" spans="1:5" ht="14.25" customHeight="1">
      <c r="A57" s="2"/>
      <c r="B57" s="2"/>
      <c r="C57" s="2"/>
      <c r="D57" s="2"/>
      <c r="E57" s="2"/>
    </row>
    <row r="58" spans="1:5" ht="14.25" customHeight="1">
      <c r="A58" s="2"/>
      <c r="B58" s="2"/>
      <c r="C58" s="2"/>
      <c r="D58" s="2"/>
      <c r="E58" s="2"/>
    </row>
    <row r="59" spans="1:5" ht="14.25" customHeight="1">
      <c r="A59" s="2"/>
      <c r="B59" s="2"/>
      <c r="C59" s="2"/>
      <c r="D59" s="2"/>
      <c r="E59" s="2"/>
    </row>
  </sheetData>
  <mergeCells count="11">
    <mergeCell ref="B30:E30"/>
    <mergeCell ref="A17:E17"/>
    <mergeCell ref="A22:E22"/>
    <mergeCell ref="A26:E26"/>
    <mergeCell ref="D27:E27"/>
    <mergeCell ref="D28:E28"/>
    <mergeCell ref="A1:E1"/>
    <mergeCell ref="A2:E2"/>
    <mergeCell ref="A4:E4"/>
    <mergeCell ref="A7:E7"/>
    <mergeCell ref="A13:E13"/>
  </mergeCells>
  <dataValidations count="5">
    <dataValidation type="list" allowBlank="1" showErrorMessage="1" errorTitle="Invalid Entry" error="Select a valid Loan Type from the dropdown." sqref="C5" xr:uid="{00000000-0002-0000-0100-000000000000}">
      <formula1>"Bridge,Fix-and-Flip,Light Rehab,Heavy Rehab,Construction"</formula1>
      <formula2>0</formula2>
    </dataValidation>
    <dataValidation type="whole" allowBlank="1" showErrorMessage="1" errorTitle="Invalid FICO Score" error="FICO must be between 300 and 850." sqref="C18" xr:uid="{00000000-0002-0000-0100-000001000000}">
      <formula1>300</formula1>
      <formula2>850</formula2>
    </dataValidation>
    <dataValidation type="list" allowBlank="1" showErrorMessage="1" errorTitle="Invalid Entry" error="Select a valid Experience Tier." sqref="C19" xr:uid="{00000000-0002-0000-0100-000002000000}">
      <formula1>"0-2 Projects,3-5 Projects,6+ Projects"</formula1>
      <formula2>0</formula2>
    </dataValidation>
    <dataValidation type="list" allowBlank="1" showErrorMessage="1" errorTitle="Invalid Term" error="Select 12, 18, or 24 months." sqref="C23" xr:uid="{00000000-0002-0000-0100-000003000000}">
      <formula1>"12,18,24"</formula1>
      <formula2>0</formula2>
    </dataValidation>
    <dataValidation type="whole" allowBlank="1" showErrorMessage="1" errorTitle="Invalid Entry" error="Days must be between 0 and 30." sqref="C24" xr:uid="{00000000-0002-0000-0100-000004000000}">
      <formula1>0</formula1>
      <formula2>30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1C2C"/>
  </sheetPr>
  <dimension ref="A1:I59"/>
  <sheetViews>
    <sheetView showGridLines="0" zoomScaleNormal="100" workbookViewId="0">
      <selection sqref="A1:I1"/>
    </sheetView>
  </sheetViews>
  <sheetFormatPr defaultColWidth="8.6640625" defaultRowHeight="14.25"/>
  <cols>
    <col min="1" max="1" width="3" customWidth="1"/>
    <col min="2" max="2" width="24" customWidth="1"/>
    <col min="3" max="9" width="12" customWidth="1"/>
  </cols>
  <sheetData>
    <row r="1" spans="1:9" ht="30" customHeight="1">
      <c r="A1" s="43" t="s">
        <v>80</v>
      </c>
      <c r="B1" s="43"/>
      <c r="C1" s="43"/>
      <c r="D1" s="43"/>
      <c r="E1" s="43"/>
      <c r="F1" s="43"/>
      <c r="G1" s="43"/>
      <c r="H1" s="43"/>
      <c r="I1" s="43"/>
    </row>
    <row r="2" spans="1:9" ht="27.75" customHeight="1">
      <c r="A2" s="79" t="s">
        <v>81</v>
      </c>
      <c r="B2" s="95"/>
      <c r="C2" s="95"/>
      <c r="D2" s="95"/>
      <c r="E2" s="95"/>
      <c r="F2" s="95"/>
      <c r="G2" s="95"/>
      <c r="H2" s="95"/>
      <c r="I2" s="95"/>
    </row>
    <row r="3" spans="1:9" ht="7.5" customHeight="1">
      <c r="A3" s="2"/>
      <c r="B3" s="2"/>
      <c r="C3" s="2"/>
      <c r="D3" s="2"/>
      <c r="E3" s="2"/>
      <c r="F3" s="2"/>
      <c r="G3" s="2"/>
      <c r="H3" s="2"/>
      <c r="I3" s="2"/>
    </row>
    <row r="4" spans="1:9" ht="18" customHeight="1">
      <c r="A4" s="45" t="s">
        <v>82</v>
      </c>
      <c r="B4" s="45"/>
      <c r="C4" s="45"/>
      <c r="D4" s="45"/>
      <c r="E4" s="45"/>
      <c r="F4" s="45"/>
      <c r="G4" s="45"/>
      <c r="H4" s="45"/>
      <c r="I4" s="45"/>
    </row>
    <row r="5" spans="1:9" ht="15.75" customHeight="1">
      <c r="A5" s="2"/>
      <c r="B5" s="8" t="s">
        <v>43</v>
      </c>
      <c r="C5" s="8" t="s">
        <v>83</v>
      </c>
      <c r="D5" s="8" t="s">
        <v>84</v>
      </c>
      <c r="E5" s="8" t="s">
        <v>85</v>
      </c>
      <c r="F5" s="2"/>
      <c r="G5" s="2"/>
      <c r="H5" s="2"/>
      <c r="I5" s="2"/>
    </row>
    <row r="6" spans="1:9" ht="18" customHeight="1">
      <c r="A6" s="2"/>
      <c r="B6" s="20" t="s">
        <v>86</v>
      </c>
      <c r="C6" s="21">
        <v>0.75</v>
      </c>
      <c r="D6" s="22" t="s">
        <v>87</v>
      </c>
      <c r="E6" s="22" t="s">
        <v>87</v>
      </c>
      <c r="F6" s="2"/>
      <c r="G6" s="2"/>
      <c r="H6" s="2"/>
      <c r="I6" s="2"/>
    </row>
    <row r="7" spans="1:9" ht="18" customHeight="1">
      <c r="A7" s="2"/>
      <c r="B7" s="20" t="s">
        <v>88</v>
      </c>
      <c r="C7" s="21">
        <v>0.9</v>
      </c>
      <c r="D7" s="21">
        <v>0.85</v>
      </c>
      <c r="E7" s="21">
        <v>0.7</v>
      </c>
      <c r="F7" s="2"/>
      <c r="G7" s="2"/>
      <c r="H7" s="2"/>
      <c r="I7" s="2"/>
    </row>
    <row r="8" spans="1:9" ht="18" customHeight="1">
      <c r="A8" s="2"/>
      <c r="B8" s="20" t="s">
        <v>89</v>
      </c>
      <c r="C8" s="21">
        <v>0.8</v>
      </c>
      <c r="D8" s="21">
        <v>0.9</v>
      </c>
      <c r="E8" s="21">
        <v>0.75</v>
      </c>
      <c r="F8" s="2"/>
      <c r="G8" s="2"/>
      <c r="H8" s="2"/>
      <c r="I8" s="2"/>
    </row>
    <row r="9" spans="1:9" ht="18" customHeight="1">
      <c r="A9" s="2"/>
      <c r="B9" s="20" t="s">
        <v>90</v>
      </c>
      <c r="C9" s="21">
        <v>0.75</v>
      </c>
      <c r="D9" s="21">
        <v>0.85</v>
      </c>
      <c r="E9" s="21">
        <v>0.7</v>
      </c>
      <c r="F9" s="2"/>
      <c r="G9" s="2"/>
      <c r="H9" s="2"/>
      <c r="I9" s="2"/>
    </row>
    <row r="10" spans="1:9" ht="18" customHeight="1">
      <c r="A10" s="2"/>
      <c r="B10" s="20" t="s">
        <v>91</v>
      </c>
      <c r="C10" s="21">
        <v>0.7</v>
      </c>
      <c r="D10" s="21">
        <v>0.85</v>
      </c>
      <c r="E10" s="21">
        <v>0.65</v>
      </c>
      <c r="F10" s="2"/>
      <c r="G10" s="2"/>
      <c r="H10" s="2"/>
      <c r="I10" s="2"/>
    </row>
    <row r="11" spans="1:9" ht="7.5" customHeight="1">
      <c r="A11" s="2"/>
      <c r="B11" s="2"/>
      <c r="C11" s="2"/>
      <c r="D11" s="2"/>
      <c r="E11" s="2"/>
      <c r="F11" s="2"/>
      <c r="G11" s="2"/>
      <c r="H11" s="2"/>
      <c r="I11" s="2"/>
    </row>
    <row r="12" spans="1:9" ht="18" customHeight="1">
      <c r="A12" s="45" t="s">
        <v>92</v>
      </c>
      <c r="B12" s="45"/>
      <c r="C12" s="45"/>
      <c r="D12" s="45"/>
      <c r="E12" s="45"/>
      <c r="F12" s="45"/>
      <c r="G12" s="45"/>
      <c r="H12" s="45"/>
      <c r="I12" s="45"/>
    </row>
    <row r="13" spans="1:9" ht="19.5" customHeight="1">
      <c r="A13" s="2"/>
      <c r="B13" s="18" t="s">
        <v>93</v>
      </c>
      <c r="C13" s="23">
        <v>2.5000000000000001E-2</v>
      </c>
      <c r="D13" s="96" t="s">
        <v>94</v>
      </c>
      <c r="E13" s="97"/>
      <c r="F13" s="98" t="s">
        <v>95</v>
      </c>
      <c r="G13" s="99"/>
      <c r="H13" s="99"/>
      <c r="I13" s="99"/>
    </row>
    <row r="14" spans="1:9" ht="19.5" customHeight="1">
      <c r="A14" s="2"/>
      <c r="B14" s="18" t="s">
        <v>96</v>
      </c>
      <c r="C14" s="23">
        <v>2.5000000000000001E-3</v>
      </c>
      <c r="D14" s="96" t="s">
        <v>97</v>
      </c>
      <c r="E14" s="97"/>
      <c r="F14" s="98" t="s">
        <v>98</v>
      </c>
      <c r="G14" s="99"/>
      <c r="H14" s="99"/>
      <c r="I14" s="99"/>
    </row>
    <row r="15" spans="1:9" ht="7.5" customHeight="1">
      <c r="A15" s="2"/>
      <c r="B15" s="2"/>
      <c r="C15" s="2"/>
      <c r="D15" s="2"/>
      <c r="E15" s="2"/>
      <c r="F15" s="2"/>
      <c r="G15" s="2"/>
      <c r="H15" s="2"/>
      <c r="I15" s="2"/>
    </row>
    <row r="16" spans="1:9" ht="18" customHeight="1">
      <c r="A16" s="45" t="s">
        <v>99</v>
      </c>
      <c r="B16" s="45"/>
      <c r="C16" s="45"/>
      <c r="D16" s="45"/>
      <c r="E16" s="45"/>
      <c r="F16" s="45"/>
      <c r="G16" s="45"/>
      <c r="H16" s="45"/>
      <c r="I16" s="45"/>
    </row>
    <row r="17" spans="1:9" ht="36" customHeight="1">
      <c r="A17" s="2"/>
      <c r="B17" s="98" t="s">
        <v>100</v>
      </c>
      <c r="C17" s="99"/>
      <c r="D17" s="99"/>
      <c r="E17" s="99"/>
      <c r="F17" s="99"/>
      <c r="G17" s="99"/>
      <c r="H17" s="99"/>
      <c r="I17" s="99"/>
    </row>
    <row r="18" spans="1:9" ht="19.5" customHeight="1">
      <c r="A18" s="2"/>
      <c r="B18" s="1" t="s">
        <v>101</v>
      </c>
      <c r="C18" s="24">
        <v>0.5</v>
      </c>
      <c r="D18" s="24">
        <v>0.55000000000000004</v>
      </c>
      <c r="E18" s="24">
        <v>0.6</v>
      </c>
      <c r="F18" s="24">
        <v>0.65</v>
      </c>
      <c r="G18" s="24">
        <v>0.7</v>
      </c>
      <c r="H18" s="24">
        <v>0.75</v>
      </c>
      <c r="I18" s="24">
        <v>0.8</v>
      </c>
    </row>
    <row r="19" spans="1:9" ht="18" customHeight="1">
      <c r="A19" s="2"/>
      <c r="B19" s="25">
        <v>620</v>
      </c>
      <c r="C19" s="26">
        <v>0.105</v>
      </c>
      <c r="D19" s="26">
        <v>0.1075</v>
      </c>
      <c r="E19" s="26">
        <v>0.11</v>
      </c>
      <c r="F19" s="26">
        <v>0.115</v>
      </c>
      <c r="G19" s="27"/>
      <c r="H19" s="27"/>
      <c r="I19" s="27"/>
    </row>
    <row r="20" spans="1:9" ht="18" customHeight="1">
      <c r="A20" s="2"/>
      <c r="B20" s="25">
        <v>640</v>
      </c>
      <c r="C20" s="28">
        <v>9.7500000000000003E-2</v>
      </c>
      <c r="D20" s="28">
        <v>0.1</v>
      </c>
      <c r="E20" s="28">
        <v>0.10249999999999999</v>
      </c>
      <c r="F20" s="28">
        <v>0.1075</v>
      </c>
      <c r="G20" s="28">
        <v>0.1125</v>
      </c>
      <c r="H20" s="27"/>
      <c r="I20" s="27"/>
    </row>
    <row r="21" spans="1:9" ht="18" customHeight="1">
      <c r="A21" s="2"/>
      <c r="B21" s="25">
        <v>660</v>
      </c>
      <c r="C21" s="26">
        <v>9.2499999999999999E-2</v>
      </c>
      <c r="D21" s="26">
        <v>9.5000000000000001E-2</v>
      </c>
      <c r="E21" s="26">
        <v>9.7500000000000003E-2</v>
      </c>
      <c r="F21" s="26">
        <v>0.10249999999999999</v>
      </c>
      <c r="G21" s="26">
        <v>0.1075</v>
      </c>
      <c r="H21" s="26">
        <v>0.1125</v>
      </c>
      <c r="I21" s="27"/>
    </row>
    <row r="22" spans="1:9" ht="18" customHeight="1">
      <c r="A22" s="2"/>
      <c r="B22" s="25">
        <v>680</v>
      </c>
      <c r="C22" s="28">
        <v>8.7499999999999994E-2</v>
      </c>
      <c r="D22" s="28">
        <v>0.09</v>
      </c>
      <c r="E22" s="28">
        <v>9.2499999999999999E-2</v>
      </c>
      <c r="F22" s="28">
        <v>9.7500000000000003E-2</v>
      </c>
      <c r="G22" s="28">
        <v>0.10249999999999999</v>
      </c>
      <c r="H22" s="28">
        <v>0.1075</v>
      </c>
      <c r="I22" s="28">
        <v>0.1125</v>
      </c>
    </row>
    <row r="23" spans="1:9" ht="18" customHeight="1">
      <c r="A23" s="2"/>
      <c r="B23" s="25">
        <v>700</v>
      </c>
      <c r="C23" s="26">
        <v>8.2500000000000004E-2</v>
      </c>
      <c r="D23" s="26">
        <v>8.5000000000000006E-2</v>
      </c>
      <c r="E23" s="26">
        <v>8.7499999999999994E-2</v>
      </c>
      <c r="F23" s="26">
        <v>9.2499999999999999E-2</v>
      </c>
      <c r="G23" s="26">
        <v>9.7500000000000003E-2</v>
      </c>
      <c r="H23" s="26">
        <v>0.10249999999999999</v>
      </c>
      <c r="I23" s="26">
        <v>0.1075</v>
      </c>
    </row>
    <row r="24" spans="1:9" ht="18" customHeight="1">
      <c r="A24" s="2"/>
      <c r="B24" s="25">
        <v>720</v>
      </c>
      <c r="C24" s="28">
        <v>0.08</v>
      </c>
      <c r="D24" s="28">
        <v>8.2500000000000004E-2</v>
      </c>
      <c r="E24" s="28">
        <v>8.5000000000000006E-2</v>
      </c>
      <c r="F24" s="28">
        <v>0.09</v>
      </c>
      <c r="G24" s="28">
        <v>9.5000000000000001E-2</v>
      </c>
      <c r="H24" s="28">
        <v>0.1</v>
      </c>
      <c r="I24" s="28">
        <v>0.105</v>
      </c>
    </row>
    <row r="25" spans="1:9" ht="18" customHeight="1">
      <c r="A25" s="2"/>
      <c r="B25" s="25">
        <v>740</v>
      </c>
      <c r="C25" s="26">
        <v>7.7499999999999999E-2</v>
      </c>
      <c r="D25" s="26">
        <v>0.08</v>
      </c>
      <c r="E25" s="26">
        <v>8.2500000000000004E-2</v>
      </c>
      <c r="F25" s="26">
        <v>8.7499999999999994E-2</v>
      </c>
      <c r="G25" s="26">
        <v>9.2499999999999999E-2</v>
      </c>
      <c r="H25" s="26">
        <v>9.7500000000000003E-2</v>
      </c>
      <c r="I25" s="26">
        <v>0.10249999999999999</v>
      </c>
    </row>
    <row r="26" spans="1:9" ht="7.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36" customHeight="1">
      <c r="A27" s="2"/>
      <c r="B27" s="91" t="s">
        <v>102</v>
      </c>
      <c r="C27" s="92"/>
      <c r="D27" s="92"/>
      <c r="E27" s="92"/>
      <c r="F27" s="92"/>
      <c r="G27" s="92"/>
      <c r="H27" s="92"/>
      <c r="I27" s="92"/>
    </row>
    <row r="28" spans="1:9" ht="14.25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9" ht="14.25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14.25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14.25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9" ht="14.25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14.25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14.25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14.25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14.25" customHeight="1">
      <c r="A36" s="2"/>
      <c r="B36" s="2"/>
      <c r="C36" s="2"/>
      <c r="D36" s="2"/>
      <c r="E36" s="2"/>
      <c r="F36" s="2"/>
      <c r="G36" s="2"/>
      <c r="H36" s="2"/>
      <c r="I36" s="2"/>
    </row>
    <row r="37" spans="1:9" ht="14.25" customHeight="1">
      <c r="A37" s="2"/>
      <c r="B37" s="2"/>
      <c r="C37" s="2"/>
      <c r="D37" s="2"/>
      <c r="E37" s="2"/>
      <c r="F37" s="2"/>
      <c r="G37" s="2"/>
      <c r="H37" s="2"/>
      <c r="I37" s="2"/>
    </row>
    <row r="38" spans="1:9" ht="14.25" customHeight="1">
      <c r="A38" s="2"/>
      <c r="B38" s="2"/>
      <c r="C38" s="2"/>
      <c r="D38" s="2"/>
      <c r="E38" s="2"/>
      <c r="F38" s="2"/>
      <c r="G38" s="2"/>
      <c r="H38" s="2"/>
      <c r="I38" s="2"/>
    </row>
    <row r="39" spans="1:9" ht="14.25" customHeight="1">
      <c r="A39" s="2"/>
      <c r="B39" s="2"/>
      <c r="C39" s="2"/>
      <c r="D39" s="2"/>
      <c r="E39" s="2"/>
      <c r="F39" s="2"/>
      <c r="G39" s="2"/>
      <c r="H39" s="2"/>
      <c r="I39" s="2"/>
    </row>
    <row r="40" spans="1:9" ht="14.25" customHeight="1">
      <c r="A40" s="2"/>
      <c r="B40" s="2"/>
      <c r="C40" s="2"/>
      <c r="D40" s="2"/>
      <c r="E40" s="2"/>
      <c r="F40" s="2"/>
      <c r="G40" s="2"/>
      <c r="H40" s="2"/>
      <c r="I40" s="2"/>
    </row>
    <row r="41" spans="1:9" ht="14.25" customHeight="1">
      <c r="A41" s="2"/>
      <c r="B41" s="2"/>
      <c r="C41" s="2"/>
      <c r="D41" s="2"/>
      <c r="E41" s="2"/>
      <c r="F41" s="2"/>
      <c r="G41" s="2"/>
      <c r="H41" s="2"/>
      <c r="I41" s="2"/>
    </row>
    <row r="42" spans="1:9" ht="14.25" customHeight="1">
      <c r="A42" s="2"/>
      <c r="B42" s="2"/>
      <c r="C42" s="2"/>
      <c r="D42" s="2"/>
      <c r="E42" s="2"/>
      <c r="F42" s="2"/>
      <c r="G42" s="2"/>
      <c r="H42" s="2"/>
      <c r="I42" s="2"/>
    </row>
    <row r="43" spans="1:9" ht="14.25" customHeight="1">
      <c r="A43" s="2"/>
      <c r="B43" s="2"/>
      <c r="C43" s="2"/>
      <c r="D43" s="2"/>
      <c r="E43" s="2"/>
      <c r="F43" s="2"/>
      <c r="G43" s="2"/>
      <c r="H43" s="2"/>
      <c r="I43" s="2"/>
    </row>
    <row r="44" spans="1:9" ht="14.25" customHeight="1">
      <c r="A44" s="2"/>
      <c r="B44" s="2"/>
      <c r="C44" s="2"/>
      <c r="D44" s="2"/>
      <c r="E44" s="2"/>
      <c r="F44" s="2"/>
      <c r="G44" s="2"/>
      <c r="H44" s="2"/>
      <c r="I44" s="2"/>
    </row>
    <row r="45" spans="1:9" ht="14.2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9" ht="14.25" customHeight="1">
      <c r="A46" s="2"/>
      <c r="B46" s="2"/>
      <c r="C46" s="2"/>
      <c r="D46" s="2"/>
      <c r="E46" s="2"/>
      <c r="F46" s="2"/>
      <c r="G46" s="2"/>
      <c r="H46" s="2"/>
      <c r="I46" s="2"/>
    </row>
    <row r="47" spans="1:9" ht="14.25" customHeight="1">
      <c r="A47" s="2"/>
      <c r="B47" s="2"/>
      <c r="C47" s="2"/>
      <c r="D47" s="2"/>
      <c r="E47" s="2"/>
      <c r="F47" s="2"/>
      <c r="G47" s="2"/>
      <c r="H47" s="2"/>
      <c r="I47" s="2"/>
    </row>
    <row r="48" spans="1:9" ht="14.25" customHeight="1">
      <c r="A48" s="2"/>
      <c r="B48" s="2"/>
      <c r="C48" s="2"/>
      <c r="D48" s="2"/>
      <c r="E48" s="2"/>
      <c r="F48" s="2"/>
      <c r="G48" s="2"/>
      <c r="H48" s="2"/>
      <c r="I48" s="2"/>
    </row>
    <row r="49" spans="1:9" ht="14.25" customHeight="1">
      <c r="A49" s="2"/>
      <c r="B49" s="2"/>
      <c r="C49" s="2"/>
      <c r="D49" s="2"/>
      <c r="E49" s="2"/>
      <c r="F49" s="2"/>
      <c r="G49" s="2"/>
      <c r="H49" s="2"/>
      <c r="I49" s="2"/>
    </row>
    <row r="50" spans="1:9" ht="14.25" customHeight="1">
      <c r="A50" s="2"/>
      <c r="B50" s="2"/>
      <c r="C50" s="2"/>
      <c r="D50" s="2"/>
      <c r="E50" s="2"/>
      <c r="F50" s="2"/>
      <c r="G50" s="2"/>
      <c r="H50" s="2"/>
      <c r="I50" s="2"/>
    </row>
    <row r="51" spans="1:9" ht="14.25" customHeight="1">
      <c r="A51" s="2"/>
      <c r="B51" s="2"/>
      <c r="C51" s="2"/>
      <c r="D51" s="2"/>
      <c r="E51" s="2"/>
      <c r="F51" s="2"/>
      <c r="G51" s="2"/>
      <c r="H51" s="2"/>
      <c r="I51" s="2"/>
    </row>
    <row r="52" spans="1:9" ht="14.25" customHeight="1">
      <c r="A52" s="2"/>
      <c r="B52" s="2"/>
      <c r="C52" s="2"/>
      <c r="D52" s="2"/>
      <c r="E52" s="2"/>
      <c r="F52" s="2"/>
      <c r="G52" s="2"/>
      <c r="H52" s="2"/>
      <c r="I52" s="2"/>
    </row>
    <row r="53" spans="1:9" ht="14.25" customHeight="1">
      <c r="A53" s="2"/>
      <c r="B53" s="2"/>
      <c r="C53" s="2"/>
      <c r="D53" s="2"/>
      <c r="E53" s="2"/>
      <c r="F53" s="2"/>
      <c r="G53" s="2"/>
      <c r="H53" s="2"/>
      <c r="I53" s="2"/>
    </row>
    <row r="54" spans="1:9" ht="14.25" customHeight="1">
      <c r="A54" s="2"/>
      <c r="B54" s="2"/>
      <c r="C54" s="2"/>
      <c r="D54" s="2"/>
      <c r="E54" s="2"/>
      <c r="F54" s="2"/>
      <c r="G54" s="2"/>
      <c r="H54" s="2"/>
      <c r="I54" s="2"/>
    </row>
    <row r="55" spans="1:9" ht="14.25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4.25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4.25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4.25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4.25" customHeight="1">
      <c r="A59" s="2"/>
      <c r="B59" s="2"/>
      <c r="C59" s="2"/>
      <c r="D59" s="2"/>
      <c r="E59" s="2"/>
      <c r="F59" s="2"/>
      <c r="G59" s="2"/>
      <c r="H59" s="2"/>
      <c r="I59" s="2"/>
    </row>
  </sheetData>
  <mergeCells count="11">
    <mergeCell ref="D14:E14"/>
    <mergeCell ref="F14:I14"/>
    <mergeCell ref="A16:I16"/>
    <mergeCell ref="B17:I17"/>
    <mergeCell ref="B27:I27"/>
    <mergeCell ref="A1:I1"/>
    <mergeCell ref="A2:I2"/>
    <mergeCell ref="A4:I4"/>
    <mergeCell ref="A12:I12"/>
    <mergeCell ref="D13:E13"/>
    <mergeCell ref="F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34E64"/>
  </sheetPr>
  <dimension ref="A1:E59"/>
  <sheetViews>
    <sheetView showGridLines="0" zoomScaleNormal="100" workbookViewId="0">
      <selection activeCell="B28" sqref="B28"/>
    </sheetView>
  </sheetViews>
  <sheetFormatPr defaultColWidth="8.6640625" defaultRowHeight="14.25"/>
  <cols>
    <col min="1" max="1" width="3" customWidth="1"/>
    <col min="2" max="2" width="28" customWidth="1"/>
    <col min="3" max="3" width="20" customWidth="1"/>
    <col min="4" max="4" width="14" customWidth="1"/>
    <col min="5" max="5" width="46" customWidth="1"/>
  </cols>
  <sheetData>
    <row r="1" spans="1:5" ht="27.75" customHeight="1">
      <c r="A1" s="43" t="s">
        <v>103</v>
      </c>
      <c r="B1" s="43"/>
      <c r="C1" s="43"/>
      <c r="D1" s="43"/>
      <c r="E1" s="43"/>
    </row>
    <row r="2" spans="1:5" ht="21.75" customHeight="1">
      <c r="A2" s="79" t="s">
        <v>104</v>
      </c>
      <c r="B2" s="95"/>
      <c r="C2" s="95"/>
      <c r="D2" s="95"/>
      <c r="E2" s="95"/>
    </row>
    <row r="3" spans="1:5" ht="7.5" customHeight="1">
      <c r="A3" s="2"/>
      <c r="B3" s="2"/>
      <c r="C3" s="2"/>
      <c r="D3" s="2"/>
      <c r="E3" s="2"/>
    </row>
    <row r="4" spans="1:5" ht="18" customHeight="1">
      <c r="A4" s="45" t="s">
        <v>105</v>
      </c>
      <c r="B4" s="45"/>
      <c r="C4" s="45"/>
      <c r="D4" s="45"/>
      <c r="E4" s="45"/>
    </row>
    <row r="5" spans="1:5" ht="15.75" customHeight="1">
      <c r="A5" s="2"/>
      <c r="B5" s="8" t="s">
        <v>106</v>
      </c>
      <c r="C5" s="8" t="s">
        <v>107</v>
      </c>
      <c r="D5" s="8" t="s">
        <v>108</v>
      </c>
      <c r="E5" s="8" t="s">
        <v>109</v>
      </c>
    </row>
    <row r="6" spans="1:5" ht="19.5" customHeight="1">
      <c r="A6" s="2"/>
      <c r="B6" s="18" t="s">
        <v>110</v>
      </c>
      <c r="C6" s="29">
        <f>IFERROR(INDEX('03_Pricing_&amp;_Assumptions'!$C$6:$C$10,MATCH(TRIM(UPPER('02_Inputs'!$C$5)),TRIM(UPPER('03_Pricing_&amp;_Assumptions'!$B$6:$B$10)),0)),0)</f>
        <v>0</v>
      </c>
      <c r="D6" s="12" t="s">
        <v>60</v>
      </c>
      <c r="E6" s="30" t="s">
        <v>111</v>
      </c>
    </row>
    <row r="7" spans="1:5" ht="19.5" customHeight="1">
      <c r="A7" s="2"/>
      <c r="B7" s="18" t="s">
        <v>112</v>
      </c>
      <c r="C7" s="29" t="str">
        <f>IFERROR(INDEX('03_Pricing_&amp;_Assumptions'!$D$6:$D$10,MATCH(TRIM(UPPER('02_Inputs'!$C$5)),TRIM(UPPER('03_Pricing_&amp;_Assumptions'!$B$6:$B$10)),0)),"N/A")</f>
        <v>N/A</v>
      </c>
      <c r="D7" s="12" t="s">
        <v>60</v>
      </c>
      <c r="E7" s="30" t="s">
        <v>113</v>
      </c>
    </row>
    <row r="8" spans="1:5" ht="19.5" customHeight="1">
      <c r="A8" s="2"/>
      <c r="B8" s="18" t="s">
        <v>114</v>
      </c>
      <c r="C8" s="29" t="str">
        <f>IFERROR(INDEX('03_Pricing_&amp;_Assumptions'!$E$6:$E$10,MATCH(TRIM(UPPER('02_Inputs'!$C$5)),TRIM(UPPER('03_Pricing_&amp;_Assumptions'!$B$6:$B$10)),0)),"N/A")</f>
        <v>N/A</v>
      </c>
      <c r="D8" s="12" t="s">
        <v>60</v>
      </c>
      <c r="E8" s="30" t="s">
        <v>115</v>
      </c>
    </row>
    <row r="9" spans="1:5" ht="7.5" customHeight="1">
      <c r="A9" s="2"/>
      <c r="B9" s="2"/>
      <c r="C9" s="2"/>
      <c r="D9" s="2"/>
      <c r="E9" s="2"/>
    </row>
    <row r="10" spans="1:5" ht="18" customHeight="1">
      <c r="A10" s="45" t="s">
        <v>116</v>
      </c>
      <c r="B10" s="45"/>
      <c r="C10" s="45"/>
      <c r="D10" s="45"/>
      <c r="E10" s="45"/>
    </row>
    <row r="11" spans="1:5" ht="15.75" customHeight="1">
      <c r="A11" s="2"/>
      <c r="B11" s="8" t="s">
        <v>106</v>
      </c>
      <c r="C11" s="8" t="s">
        <v>107</v>
      </c>
      <c r="D11" s="8" t="s">
        <v>108</v>
      </c>
      <c r="E11" s="8" t="s">
        <v>109</v>
      </c>
    </row>
    <row r="12" spans="1:5" ht="19.5" customHeight="1">
      <c r="A12" s="2"/>
      <c r="B12" s="18" t="s">
        <v>117</v>
      </c>
      <c r="C12" s="29">
        <f>IF(N('02_Inputs'!$C$9)=0,0,IFERROR('02_Inputs'!$C$14/'02_Inputs'!$C$9,0))</f>
        <v>0</v>
      </c>
      <c r="D12" s="12" t="s">
        <v>60</v>
      </c>
      <c r="E12" s="30" t="s">
        <v>118</v>
      </c>
    </row>
    <row r="13" spans="1:5" ht="19.5" customHeight="1">
      <c r="A13" s="2"/>
      <c r="B13" s="18" t="s">
        <v>119</v>
      </c>
      <c r="C13" s="29">
        <f>IF(('02_Inputs'!$C$8+'02_Inputs'!$C$10)=0,0,IFERROR('02_Inputs'!$C$14/('02_Inputs'!$C$8+'02_Inputs'!$C$10),0))</f>
        <v>0</v>
      </c>
      <c r="D13" s="12" t="s">
        <v>60</v>
      </c>
      <c r="E13" s="30" t="s">
        <v>120</v>
      </c>
    </row>
    <row r="14" spans="1:5" ht="19.5" customHeight="1">
      <c r="A14" s="2"/>
      <c r="B14" s="18" t="s">
        <v>121</v>
      </c>
      <c r="C14" s="29">
        <f>IF(N('02_Inputs'!$C$8)=0,0,IFERROR('02_Inputs'!$C$14/'02_Inputs'!$C$8,0))</f>
        <v>0</v>
      </c>
      <c r="D14" s="12" t="s">
        <v>60</v>
      </c>
      <c r="E14" s="30" t="s">
        <v>122</v>
      </c>
    </row>
    <row r="15" spans="1:5" ht="19.5" customHeight="1">
      <c r="A15" s="2"/>
      <c r="B15" s="18" t="s">
        <v>123</v>
      </c>
      <c r="C15" s="29">
        <f>IF(N('02_Inputs'!$C$11)=0,0,IFERROR('02_Inputs'!$C$14/'02_Inputs'!$C$11,0))</f>
        <v>0</v>
      </c>
      <c r="D15" s="12" t="s">
        <v>60</v>
      </c>
      <c r="E15" s="30" t="s">
        <v>124</v>
      </c>
    </row>
    <row r="16" spans="1:5" ht="7.5" customHeight="1">
      <c r="A16" s="2"/>
      <c r="B16" s="2"/>
      <c r="C16" s="2"/>
      <c r="D16" s="2"/>
      <c r="E16" s="2"/>
    </row>
    <row r="17" spans="1:5" ht="18" customHeight="1">
      <c r="A17" s="45" t="s">
        <v>125</v>
      </c>
      <c r="B17" s="45"/>
      <c r="C17" s="45"/>
      <c r="D17" s="45"/>
      <c r="E17" s="45"/>
    </row>
    <row r="18" spans="1:5" ht="15.75" customHeight="1">
      <c r="A18" s="2"/>
      <c r="B18" s="8" t="s">
        <v>106</v>
      </c>
      <c r="C18" s="8" t="s">
        <v>107</v>
      </c>
      <c r="D18" s="8" t="s">
        <v>108</v>
      </c>
      <c r="E18" s="8" t="s">
        <v>109</v>
      </c>
    </row>
    <row r="19" spans="1:5" ht="19.5" customHeight="1">
      <c r="A19" s="2"/>
      <c r="B19" s="18" t="s">
        <v>126</v>
      </c>
      <c r="C19" s="31" t="str">
        <f>IF(N(C12)=0,"N/A",IF(C12&gt;C6,"Fail",IF(C12&gt;=(C6-0.05),"Exception","Pass")))</f>
        <v>N/A</v>
      </c>
      <c r="D19" s="12" t="s">
        <v>127</v>
      </c>
      <c r="E19" s="30" t="s">
        <v>128</v>
      </c>
    </row>
    <row r="20" spans="1:5" ht="19.5" customHeight="1">
      <c r="A20" s="2"/>
      <c r="B20" s="18" t="s">
        <v>129</v>
      </c>
      <c r="C20" s="31" t="str">
        <f>IF(OR(N(C7)=0,N(C13)=0),"N/A",IF(C13&gt;C7,"Fail",IF(C13&gt;=(C7-0.05),"Exception","Pass")))</f>
        <v>N/A</v>
      </c>
      <c r="D20" s="12" t="s">
        <v>127</v>
      </c>
      <c r="E20" s="30" t="s">
        <v>130</v>
      </c>
    </row>
    <row r="21" spans="1:5" ht="19.5" customHeight="1">
      <c r="A21" s="2"/>
      <c r="B21" s="18" t="s">
        <v>131</v>
      </c>
      <c r="C21" s="31" t="str">
        <f>IF(OR(N(C8)=0,N(C15)=0),"N/A",IF(C15&gt;C8,"Fail",IF(C15&gt;=(C8-0.05),"Exception","Pass")))</f>
        <v>N/A</v>
      </c>
      <c r="D21" s="12" t="s">
        <v>127</v>
      </c>
      <c r="E21" s="30" t="s">
        <v>132</v>
      </c>
    </row>
    <row r="22" spans="1:5" ht="19.5" customHeight="1">
      <c r="A22" s="2"/>
      <c r="B22" s="18" t="s">
        <v>133</v>
      </c>
      <c r="C22" s="31" t="str">
        <f>IF(OR(C19="Fail",C20="Fail",C21="Fail"),"Fail",IF(OR(C19="Exception",C20="Exception",C21="Exception"),"Exception Needed","Pass"))</f>
        <v>Pass</v>
      </c>
      <c r="D22" s="12" t="s">
        <v>127</v>
      </c>
      <c r="E22" s="30" t="s">
        <v>134</v>
      </c>
    </row>
    <row r="23" spans="1:5" ht="7.5" customHeight="1">
      <c r="A23" s="2"/>
      <c r="B23" s="2"/>
      <c r="C23" s="2"/>
      <c r="D23" s="2"/>
      <c r="E23" s="2"/>
    </row>
    <row r="24" spans="1:5" ht="18" customHeight="1">
      <c r="A24" s="45" t="s">
        <v>135</v>
      </c>
      <c r="B24" s="45"/>
      <c r="C24" s="45"/>
      <c r="D24" s="45"/>
      <c r="E24" s="45"/>
    </row>
    <row r="25" spans="1:5" ht="15.75" customHeight="1">
      <c r="A25" s="2"/>
      <c r="B25" s="8" t="s">
        <v>106</v>
      </c>
      <c r="C25" s="8" t="s">
        <v>107</v>
      </c>
      <c r="D25" s="8" t="s">
        <v>108</v>
      </c>
      <c r="E25" s="8" t="s">
        <v>109</v>
      </c>
    </row>
    <row r="26" spans="1:5" ht="19.5" customHeight="1">
      <c r="A26" s="2"/>
      <c r="B26" s="18" t="s">
        <v>136</v>
      </c>
      <c r="C26" s="29" t="str">
        <f>IFERROR(INDEX('03_Pricing_&amp;_Assumptions'!$C$19:$I$25,MATCH(N('02_Inputs'!$C$18),'03_Pricing_&amp;_Assumptions'!$B$19:$B$25,1),MATCH(C12,'03_Pricing_&amp;_Assumptions'!$C$18:$I$18,1)),"Check Risk Rules")</f>
        <v>Check Risk Rules</v>
      </c>
      <c r="D26" s="12" t="s">
        <v>60</v>
      </c>
      <c r="E26" s="30" t="s">
        <v>137</v>
      </c>
    </row>
    <row r="27" spans="1:5" ht="19.5" customHeight="1">
      <c r="A27" s="2"/>
      <c r="B27" s="18" t="s">
        <v>138</v>
      </c>
      <c r="C27" s="29">
        <f>IF(ISNUMBER(C26),'02_Inputs'!$C$15-C26,0)</f>
        <v>0</v>
      </c>
      <c r="D27" s="12" t="s">
        <v>60</v>
      </c>
      <c r="E27" s="30" t="s">
        <v>139</v>
      </c>
    </row>
    <row r="28" spans="1:5" ht="19.5" customHeight="1">
      <c r="A28" s="2"/>
      <c r="B28" s="18" t="s">
        <v>140</v>
      </c>
      <c r="C28" s="31" t="str">
        <f>IF(ISNUMBER(C26),IF(C27&lt;'03_Pricing_&amp;_Assumptions'!$C$13,"Below Margin","Valid"),"N/A")</f>
        <v>N/A</v>
      </c>
      <c r="D28" s="12" t="s">
        <v>127</v>
      </c>
      <c r="E28" s="30" t="s">
        <v>141</v>
      </c>
    </row>
    <row r="29" spans="1:5" ht="19.5" customHeight="1">
      <c r="A29" s="2"/>
      <c r="B29" s="18" t="s">
        <v>142</v>
      </c>
      <c r="C29" s="29">
        <f>IF(C28="Below Margin",'03_Pricing_&amp;_Assumptions'!$C$13-C27,0)</f>
        <v>0</v>
      </c>
      <c r="D29" s="12" t="s">
        <v>60</v>
      </c>
      <c r="E29" s="30" t="s">
        <v>143</v>
      </c>
    </row>
    <row r="30" spans="1:5" ht="7.5" customHeight="1">
      <c r="A30" s="2"/>
      <c r="B30" s="2"/>
      <c r="C30" s="2"/>
      <c r="D30" s="2"/>
      <c r="E30" s="2"/>
    </row>
    <row r="31" spans="1:5" ht="18" customHeight="1">
      <c r="A31" s="45" t="s">
        <v>144</v>
      </c>
      <c r="B31" s="45"/>
      <c r="C31" s="45"/>
      <c r="D31" s="45"/>
      <c r="E31" s="45"/>
    </row>
    <row r="32" spans="1:5" ht="15.75" customHeight="1">
      <c r="A32" s="2"/>
      <c r="B32" s="8" t="s">
        <v>106</v>
      </c>
      <c r="C32" s="8" t="s">
        <v>107</v>
      </c>
      <c r="D32" s="8" t="s">
        <v>108</v>
      </c>
      <c r="E32" s="8" t="s">
        <v>109</v>
      </c>
    </row>
    <row r="33" spans="1:5" ht="19.5" customHeight="1">
      <c r="A33" s="2"/>
      <c r="B33" s="18" t="s">
        <v>145</v>
      </c>
      <c r="C33" s="32">
        <f>IF(N('02_Inputs'!$C$14)=0,0,'02_Inputs'!$C$14*('03_Pricing_&amp;_Assumptions'!$C$14/12)*N('02_Inputs'!$C$23))</f>
        <v>0</v>
      </c>
      <c r="D33" s="12" t="s">
        <v>146</v>
      </c>
      <c r="E33" s="30" t="s">
        <v>147</v>
      </c>
    </row>
    <row r="34" spans="1:5" ht="19.5" customHeight="1">
      <c r="A34" s="2"/>
      <c r="B34" s="18" t="s">
        <v>148</v>
      </c>
      <c r="C34" s="32">
        <f>IF(N('02_Inputs'!$C$14)=0,0,'02_Inputs'!$C$14*('02_Inputs'!$C$15/360)*N('02_Inputs'!$C$24))</f>
        <v>0</v>
      </c>
      <c r="D34" s="12" t="s">
        <v>146</v>
      </c>
      <c r="E34" s="30" t="s">
        <v>149</v>
      </c>
    </row>
    <row r="35" spans="1:5" ht="19.5" customHeight="1">
      <c r="A35" s="2"/>
      <c r="B35" s="18" t="s">
        <v>150</v>
      </c>
      <c r="C35" s="32">
        <f>'02_Inputs'!$C$14-C34-C33</f>
        <v>0</v>
      </c>
      <c r="D35" s="12" t="s">
        <v>146</v>
      </c>
      <c r="E35" s="30" t="s">
        <v>151</v>
      </c>
    </row>
    <row r="36" spans="1:5" ht="19.5" customHeight="1">
      <c r="A36" s="2"/>
      <c r="B36" s="18" t="s">
        <v>152</v>
      </c>
      <c r="C36" s="32">
        <f>MAX(0,('02_Inputs'!$C$8+'02_Inputs'!$C$10)-C35)</f>
        <v>0</v>
      </c>
      <c r="D36" s="12" t="s">
        <v>146</v>
      </c>
      <c r="E36" s="30" t="s">
        <v>153</v>
      </c>
    </row>
    <row r="37" spans="1:5" ht="19.5" customHeight="1">
      <c r="A37" s="2"/>
      <c r="B37" s="18" t="s">
        <v>154</v>
      </c>
      <c r="C37" s="32">
        <f>MAX(0,C36-'02_Inputs'!$C$20)</f>
        <v>0</v>
      </c>
      <c r="D37" s="12" t="s">
        <v>146</v>
      </c>
      <c r="E37" s="30" t="s">
        <v>155</v>
      </c>
    </row>
    <row r="38" spans="1:5" ht="7.5" customHeight="1">
      <c r="A38" s="2"/>
      <c r="B38" s="2"/>
      <c r="C38" s="2"/>
      <c r="D38" s="2"/>
      <c r="E38" s="2"/>
    </row>
    <row r="39" spans="1:5" ht="18" customHeight="1">
      <c r="A39" s="45" t="s">
        <v>156</v>
      </c>
      <c r="B39" s="45"/>
      <c r="C39" s="45"/>
      <c r="D39" s="45"/>
      <c r="E39" s="45"/>
    </row>
    <row r="40" spans="1:5" ht="15.75" customHeight="1">
      <c r="A40" s="2"/>
      <c r="B40" s="8" t="s">
        <v>106</v>
      </c>
      <c r="C40" s="8" t="s">
        <v>107</v>
      </c>
      <c r="D40" s="8" t="s">
        <v>108</v>
      </c>
      <c r="E40" s="8" t="s">
        <v>109</v>
      </c>
    </row>
    <row r="41" spans="1:5" ht="19.5" customHeight="1">
      <c r="A41" s="2"/>
      <c r="B41" s="18" t="s">
        <v>157</v>
      </c>
      <c r="C41" s="32">
        <f>IF(ISNUMBER(C26),'02_Inputs'!$C$14*C27*('02_Inputs'!$C$23/12),0)</f>
        <v>0</v>
      </c>
      <c r="D41" s="12" t="s">
        <v>146</v>
      </c>
      <c r="E41" s="30" t="s">
        <v>158</v>
      </c>
    </row>
    <row r="42" spans="1:5" ht="7.5" customHeight="1">
      <c r="A42" s="2"/>
      <c r="B42" s="2"/>
      <c r="C42" s="2"/>
      <c r="D42" s="2"/>
      <c r="E42" s="2"/>
    </row>
    <row r="43" spans="1:5" ht="27.75" customHeight="1">
      <c r="A43" s="2"/>
      <c r="B43" s="91" t="s">
        <v>159</v>
      </c>
      <c r="C43" s="92"/>
      <c r="D43" s="92"/>
      <c r="E43" s="92"/>
    </row>
    <row r="44" spans="1:5" ht="14.25" customHeight="1">
      <c r="A44" s="2"/>
      <c r="B44" s="2"/>
      <c r="C44" s="2"/>
      <c r="D44" s="2"/>
      <c r="E44" s="2"/>
    </row>
    <row r="45" spans="1:5" ht="14.25" customHeight="1">
      <c r="A45" s="2"/>
      <c r="B45" s="2"/>
      <c r="C45" s="2"/>
      <c r="D45" s="2"/>
      <c r="E45" s="2"/>
    </row>
    <row r="46" spans="1:5" ht="14.25" customHeight="1">
      <c r="A46" s="2"/>
      <c r="B46" s="2"/>
      <c r="C46" s="2"/>
      <c r="D46" s="2"/>
      <c r="E46" s="2"/>
    </row>
    <row r="47" spans="1:5" ht="14.25" customHeight="1">
      <c r="A47" s="2"/>
      <c r="B47" s="2"/>
      <c r="C47" s="2"/>
      <c r="D47" s="2"/>
      <c r="E47" s="2"/>
    </row>
    <row r="48" spans="1:5" ht="14.25" customHeight="1">
      <c r="A48" s="2"/>
      <c r="B48" s="2"/>
      <c r="C48" s="2"/>
      <c r="D48" s="2"/>
      <c r="E48" s="2"/>
    </row>
    <row r="49" spans="1:5" ht="14.25" customHeight="1">
      <c r="A49" s="2"/>
      <c r="B49" s="2"/>
      <c r="C49" s="2"/>
      <c r="D49" s="2"/>
      <c r="E49" s="2"/>
    </row>
    <row r="50" spans="1:5" ht="14.25" customHeight="1">
      <c r="A50" s="2"/>
      <c r="B50" s="2"/>
      <c r="C50" s="2"/>
      <c r="D50" s="2"/>
      <c r="E50" s="2"/>
    </row>
    <row r="51" spans="1:5" ht="14.25" customHeight="1">
      <c r="A51" s="2"/>
      <c r="B51" s="2"/>
      <c r="C51" s="2"/>
      <c r="D51" s="2"/>
      <c r="E51" s="2"/>
    </row>
    <row r="52" spans="1:5" ht="14.25" customHeight="1">
      <c r="A52" s="2"/>
      <c r="B52" s="2"/>
      <c r="C52" s="2"/>
      <c r="D52" s="2"/>
      <c r="E52" s="2"/>
    </row>
    <row r="53" spans="1:5" ht="14.25" customHeight="1">
      <c r="A53" s="2"/>
      <c r="B53" s="2"/>
      <c r="C53" s="2"/>
      <c r="D53" s="2"/>
      <c r="E53" s="2"/>
    </row>
    <row r="54" spans="1:5" ht="14.25" customHeight="1">
      <c r="A54" s="2"/>
      <c r="B54" s="2"/>
      <c r="C54" s="2"/>
      <c r="D54" s="2"/>
      <c r="E54" s="2"/>
    </row>
    <row r="55" spans="1:5" ht="14.25" customHeight="1">
      <c r="A55" s="2"/>
      <c r="B55" s="2"/>
      <c r="C55" s="2"/>
      <c r="D55" s="2"/>
      <c r="E55" s="2"/>
    </row>
    <row r="56" spans="1:5" ht="14.25" customHeight="1">
      <c r="A56" s="2"/>
      <c r="B56" s="2"/>
      <c r="C56" s="2"/>
      <c r="D56" s="2"/>
      <c r="E56" s="2"/>
    </row>
    <row r="57" spans="1:5" ht="14.25" customHeight="1">
      <c r="A57" s="2"/>
      <c r="B57" s="2"/>
      <c r="C57" s="2"/>
      <c r="D57" s="2"/>
      <c r="E57" s="2"/>
    </row>
    <row r="58" spans="1:5" ht="14.25" customHeight="1">
      <c r="A58" s="2"/>
      <c r="B58" s="2"/>
      <c r="C58" s="2"/>
      <c r="D58" s="2"/>
      <c r="E58" s="2"/>
    </row>
    <row r="59" spans="1:5" ht="14.25" customHeight="1">
      <c r="A59" s="2"/>
      <c r="B59" s="2"/>
      <c r="C59" s="2"/>
      <c r="D59" s="2"/>
      <c r="E59" s="2"/>
    </row>
  </sheetData>
  <mergeCells count="9">
    <mergeCell ref="A24:E24"/>
    <mergeCell ref="A31:E31"/>
    <mergeCell ref="A39:E39"/>
    <mergeCell ref="B43:E43"/>
    <mergeCell ref="A1:E1"/>
    <mergeCell ref="A2:E2"/>
    <mergeCell ref="A4:E4"/>
    <mergeCell ref="A10:E10"/>
    <mergeCell ref="A17:E17"/>
  </mergeCells>
  <conditionalFormatting sqref="C19:C22">
    <cfRule type="cellIs" dxfId="12" priority="2" operator="equal">
      <formula>"Pass"</formula>
    </cfRule>
    <cfRule type="cellIs" dxfId="11" priority="3" operator="equal">
      <formula>"Fail"</formula>
    </cfRule>
    <cfRule type="cellIs" dxfId="10" priority="4" operator="equal">
      <formula>"Exception"</formula>
    </cfRule>
    <cfRule type="cellIs" dxfId="9" priority="5" operator="equal">
      <formula>"Exception Needed"</formula>
    </cfRule>
  </conditionalFormatting>
  <conditionalFormatting sqref="C28">
    <cfRule type="cellIs" dxfId="8" priority="18" operator="equal">
      <formula>"Below Margin"</formula>
    </cfRule>
    <cfRule type="cellIs" dxfId="7" priority="19" operator="equal">
      <formula>"Valid"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51FF"/>
  </sheetPr>
  <dimension ref="A1:E59"/>
  <sheetViews>
    <sheetView showGridLines="0" tabSelected="1" zoomScaleNormal="100" workbookViewId="0">
      <selection activeCell="I28" sqref="I28"/>
    </sheetView>
  </sheetViews>
  <sheetFormatPr defaultColWidth="8.6640625" defaultRowHeight="14.25"/>
  <cols>
    <col min="1" max="1" width="3" customWidth="1"/>
    <col min="2" max="2" width="30" customWidth="1"/>
    <col min="3" max="4" width="16" customWidth="1"/>
    <col min="5" max="5" width="14" customWidth="1"/>
  </cols>
  <sheetData>
    <row r="1" spans="1:5" ht="42" customHeight="1">
      <c r="A1" s="43" t="s">
        <v>160</v>
      </c>
      <c r="B1" s="43"/>
      <c r="C1" s="43"/>
      <c r="D1" s="43"/>
      <c r="E1" s="43"/>
    </row>
    <row r="2" spans="1:5" ht="27.75" customHeight="1">
      <c r="A2" s="44" t="str">
        <f>'02_Inputs'!$C$5&amp;"  LOAN — INDICATIVE PRICING"</f>
        <v>Bridge  LOAN — INDICATIVE PRICING</v>
      </c>
      <c r="B2" s="44"/>
      <c r="C2" s="44"/>
      <c r="D2" s="33" t="s">
        <v>161</v>
      </c>
      <c r="E2" s="34">
        <f ca="1">TODAY()</f>
        <v>46183</v>
      </c>
    </row>
    <row r="3" spans="1:5" ht="7.5" customHeight="1">
      <c r="A3" s="2"/>
      <c r="B3" s="2"/>
      <c r="C3" s="2"/>
      <c r="D3" s="2"/>
      <c r="E3" s="2"/>
    </row>
    <row r="4" spans="1:5" ht="18" customHeight="1">
      <c r="A4" s="45" t="s">
        <v>162</v>
      </c>
      <c r="B4" s="45"/>
      <c r="C4" s="45"/>
      <c r="D4" s="45"/>
      <c r="E4" s="45"/>
    </row>
    <row r="5" spans="1:5" ht="55.5" customHeight="1">
      <c r="A5" s="46" t="str">
        <f>UPPER('04_Calc_Engine'!$C$22)</f>
        <v>PASS</v>
      </c>
      <c r="B5" s="46"/>
      <c r="C5" s="46"/>
      <c r="D5" s="46"/>
      <c r="E5" s="46"/>
    </row>
    <row r="6" spans="1:5" ht="7.5" customHeight="1">
      <c r="A6" s="2"/>
      <c r="B6" s="2"/>
      <c r="C6" s="2"/>
      <c r="D6" s="2"/>
      <c r="E6" s="2"/>
    </row>
    <row r="7" spans="1:5" ht="18" customHeight="1">
      <c r="A7" s="45" t="s">
        <v>163</v>
      </c>
      <c r="B7" s="45"/>
      <c r="C7" s="45"/>
      <c r="D7" s="45"/>
      <c r="E7" s="45"/>
    </row>
    <row r="8" spans="1:5" ht="21" customHeight="1">
      <c r="A8" s="2"/>
      <c r="B8" s="47" t="s">
        <v>164</v>
      </c>
      <c r="C8" s="48"/>
      <c r="D8" s="49">
        <f>'02_Inputs'!$C$14</f>
        <v>0</v>
      </c>
      <c r="E8" s="50"/>
    </row>
    <row r="9" spans="1:5" ht="21" customHeight="1">
      <c r="A9" s="2"/>
      <c r="B9" s="51" t="s">
        <v>165</v>
      </c>
      <c r="C9" s="52"/>
      <c r="D9" s="53">
        <f>'02_Inputs'!$C$15</f>
        <v>0</v>
      </c>
      <c r="E9" s="54"/>
    </row>
    <row r="10" spans="1:5" ht="21" customHeight="1">
      <c r="A10" s="2"/>
      <c r="B10" s="55" t="s">
        <v>166</v>
      </c>
      <c r="C10" s="56"/>
      <c r="D10" s="57" t="str">
        <f>'02_Inputs'!$C$23&amp;" Months"</f>
        <v xml:space="preserve"> Months</v>
      </c>
      <c r="E10" s="58"/>
    </row>
    <row r="11" spans="1:5" ht="21" customHeight="1">
      <c r="A11" s="2"/>
      <c r="B11" s="59" t="s">
        <v>43</v>
      </c>
      <c r="C11" s="60"/>
      <c r="D11" s="61" t="str">
        <f>'02_Inputs'!$C$5</f>
        <v>Bridge</v>
      </c>
      <c r="E11" s="62"/>
    </row>
    <row r="12" spans="1:5" ht="7.5" customHeight="1">
      <c r="A12" s="2"/>
      <c r="B12" s="2"/>
      <c r="C12" s="2"/>
      <c r="D12" s="2"/>
      <c r="E12" s="2"/>
    </row>
    <row r="13" spans="1:5" ht="18" customHeight="1">
      <c r="A13" s="45" t="s">
        <v>167</v>
      </c>
      <c r="B13" s="45"/>
      <c r="C13" s="45"/>
      <c r="D13" s="45"/>
      <c r="E13" s="45"/>
    </row>
    <row r="14" spans="1:5" ht="15.75" customHeight="1">
      <c r="A14" s="2"/>
      <c r="B14" s="8" t="s">
        <v>168</v>
      </c>
      <c r="C14" s="8" t="s">
        <v>169</v>
      </c>
      <c r="D14" s="8" t="s">
        <v>170</v>
      </c>
      <c r="E14" s="8" t="s">
        <v>171</v>
      </c>
    </row>
    <row r="15" spans="1:5" ht="19.5" customHeight="1">
      <c r="A15" s="2"/>
      <c r="B15" s="35" t="s">
        <v>172</v>
      </c>
      <c r="C15" s="36">
        <f>'04_Calc_Engine'!$C$12</f>
        <v>0</v>
      </c>
      <c r="D15" s="37">
        <f>'04_Calc_Engine'!$C$6</f>
        <v>0</v>
      </c>
      <c r="E15" s="38" t="str">
        <f>'04_Calc_Engine'!$C$19</f>
        <v>N/A</v>
      </c>
    </row>
    <row r="16" spans="1:5" ht="19.5" customHeight="1">
      <c r="A16" s="2"/>
      <c r="B16" s="39" t="s">
        <v>173</v>
      </c>
      <c r="C16" s="40">
        <f>'04_Calc_Engine'!$C$13</f>
        <v>0</v>
      </c>
      <c r="D16" s="41" t="str">
        <f>'04_Calc_Engine'!$C$7</f>
        <v>N/A</v>
      </c>
      <c r="E16" s="42" t="str">
        <f>'04_Calc_Engine'!$C$20</f>
        <v>N/A</v>
      </c>
    </row>
    <row r="17" spans="1:5" ht="19.5" customHeight="1">
      <c r="A17" s="2"/>
      <c r="B17" s="35" t="s">
        <v>174</v>
      </c>
      <c r="C17" s="36">
        <f>'04_Calc_Engine'!$C$14</f>
        <v>0</v>
      </c>
      <c r="D17" s="37" t="s">
        <v>87</v>
      </c>
      <c r="E17" s="38" t="s">
        <v>87</v>
      </c>
    </row>
    <row r="18" spans="1:5" ht="19.5" customHeight="1">
      <c r="A18" s="2"/>
      <c r="B18" s="39" t="s">
        <v>175</v>
      </c>
      <c r="C18" s="40">
        <f>'04_Calc_Engine'!$C$15</f>
        <v>0</v>
      </c>
      <c r="D18" s="41" t="str">
        <f>'04_Calc_Engine'!$C$8</f>
        <v>N/A</v>
      </c>
      <c r="E18" s="42" t="str">
        <f>'04_Calc_Engine'!$C$21</f>
        <v>N/A</v>
      </c>
    </row>
    <row r="19" spans="1:5" ht="7.5" customHeight="1">
      <c r="A19" s="2"/>
      <c r="B19" s="2"/>
      <c r="C19" s="2"/>
      <c r="D19" s="2"/>
      <c r="E19" s="2"/>
    </row>
    <row r="20" spans="1:5" ht="18" customHeight="1">
      <c r="A20" s="45" t="s">
        <v>176</v>
      </c>
      <c r="B20" s="45"/>
      <c r="C20" s="45"/>
      <c r="D20" s="45"/>
      <c r="E20" s="45"/>
    </row>
    <row r="21" spans="1:5" ht="21" customHeight="1">
      <c r="A21" s="2"/>
      <c r="B21" s="55" t="s">
        <v>177</v>
      </c>
      <c r="C21" s="56"/>
      <c r="D21" s="63">
        <f>'04_Calc_Engine'!$C$34</f>
        <v>0</v>
      </c>
      <c r="E21" s="64"/>
    </row>
    <row r="22" spans="1:5" ht="21" customHeight="1">
      <c r="A22" s="2"/>
      <c r="B22" s="59" t="s">
        <v>178</v>
      </c>
      <c r="C22" s="60"/>
      <c r="D22" s="65">
        <f>'04_Calc_Engine'!$C$33</f>
        <v>0</v>
      </c>
      <c r="E22" s="66"/>
    </row>
    <row r="23" spans="1:5" ht="21" customHeight="1">
      <c r="A23" s="2"/>
      <c r="B23" s="67" t="s">
        <v>179</v>
      </c>
      <c r="C23" s="68"/>
      <c r="D23" s="69">
        <f>'04_Calc_Engine'!$C$35</f>
        <v>0</v>
      </c>
      <c r="E23" s="70"/>
    </row>
    <row r="24" spans="1:5" ht="21" customHeight="1">
      <c r="A24" s="2"/>
      <c r="B24" s="71" t="s">
        <v>180</v>
      </c>
      <c r="C24" s="72"/>
      <c r="D24" s="73">
        <f>'04_Calc_Engine'!$C$36</f>
        <v>0</v>
      </c>
      <c r="E24" s="74"/>
    </row>
    <row r="25" spans="1:5" ht="21" customHeight="1">
      <c r="A25" s="2"/>
      <c r="B25" s="55" t="s">
        <v>181</v>
      </c>
      <c r="C25" s="56"/>
      <c r="D25" s="63">
        <f>'04_Calc_Engine'!$C$37</f>
        <v>0</v>
      </c>
      <c r="E25" s="64"/>
    </row>
    <row r="26" spans="1:5" ht="7.5" customHeight="1">
      <c r="A26" s="2"/>
      <c r="B26" s="2"/>
      <c r="C26" s="2"/>
      <c r="D26" s="2"/>
      <c r="E26" s="2"/>
    </row>
    <row r="27" spans="1:5" ht="18" customHeight="1">
      <c r="A27" s="45" t="s">
        <v>182</v>
      </c>
      <c r="B27" s="45"/>
      <c r="C27" s="45"/>
      <c r="D27" s="45"/>
      <c r="E27" s="45"/>
    </row>
    <row r="28" spans="1:5" ht="18.75" customHeight="1">
      <c r="A28" s="2"/>
      <c r="B28" s="75" t="s">
        <v>63</v>
      </c>
      <c r="C28" s="76"/>
      <c r="D28" s="77">
        <f>'02_Inputs'!$C$18</f>
        <v>0</v>
      </c>
      <c r="E28" s="78"/>
    </row>
    <row r="29" spans="1:5" ht="18.75" customHeight="1">
      <c r="A29" s="2"/>
      <c r="B29" s="81" t="s">
        <v>66</v>
      </c>
      <c r="C29" s="82"/>
      <c r="D29" s="83">
        <f>'02_Inputs'!$C$19</f>
        <v>0</v>
      </c>
      <c r="E29" s="84"/>
    </row>
    <row r="30" spans="1:5" ht="18.75" customHeight="1">
      <c r="A30" s="2"/>
      <c r="B30" s="75" t="s">
        <v>183</v>
      </c>
      <c r="C30" s="76"/>
      <c r="D30" s="85">
        <f>'02_Inputs'!$C$20</f>
        <v>0</v>
      </c>
      <c r="E30" s="86"/>
    </row>
    <row r="31" spans="1:5" ht="7.5" customHeight="1">
      <c r="A31" s="2"/>
      <c r="B31" s="2"/>
      <c r="C31" s="2"/>
      <c r="D31" s="2"/>
      <c r="E31" s="2"/>
    </row>
    <row r="32" spans="1:5" ht="36" customHeight="1">
      <c r="A32" s="87" t="s">
        <v>184</v>
      </c>
      <c r="B32" s="88"/>
      <c r="C32" s="88"/>
      <c r="D32" s="88"/>
      <c r="E32" s="88"/>
    </row>
    <row r="33" spans="1:5" ht="24" customHeight="1">
      <c r="A33" s="79" t="s">
        <v>185</v>
      </c>
      <c r="B33" s="80"/>
      <c r="C33" s="80"/>
      <c r="D33" s="80"/>
      <c r="E33" s="80"/>
    </row>
    <row r="34" spans="1:5" ht="14.25" customHeight="1">
      <c r="A34" s="2"/>
      <c r="B34" s="2"/>
      <c r="C34" s="2"/>
      <c r="D34" s="2"/>
      <c r="E34" s="2"/>
    </row>
    <row r="35" spans="1:5" ht="14.25" customHeight="1">
      <c r="A35" s="2"/>
      <c r="B35" s="2"/>
      <c r="C35" s="2"/>
      <c r="D35" s="2"/>
      <c r="E35" s="2"/>
    </row>
    <row r="36" spans="1:5" ht="14.25" customHeight="1">
      <c r="A36" s="2"/>
      <c r="B36" s="2"/>
      <c r="C36" s="2"/>
      <c r="D36" s="2"/>
      <c r="E36" s="2"/>
    </row>
    <row r="37" spans="1:5" ht="14.25" customHeight="1">
      <c r="A37" s="2"/>
      <c r="B37" s="2"/>
      <c r="C37" s="2"/>
      <c r="D37" s="2"/>
      <c r="E37" s="2"/>
    </row>
    <row r="38" spans="1:5" ht="14.25" customHeight="1">
      <c r="A38" s="2"/>
      <c r="B38" s="2"/>
      <c r="C38" s="2"/>
      <c r="D38" s="2"/>
      <c r="E38" s="2"/>
    </row>
    <row r="39" spans="1:5" ht="14.25" customHeight="1">
      <c r="A39" s="2"/>
      <c r="B39" s="2"/>
      <c r="C39" s="2"/>
      <c r="D39" s="2"/>
      <c r="E39" s="2"/>
    </row>
    <row r="40" spans="1:5" ht="14.25" customHeight="1">
      <c r="A40" s="2"/>
      <c r="B40" s="2"/>
      <c r="C40" s="2"/>
      <c r="D40" s="2"/>
      <c r="E40" s="2"/>
    </row>
    <row r="41" spans="1:5" ht="14.25" customHeight="1">
      <c r="A41" s="2"/>
      <c r="B41" s="2"/>
      <c r="C41" s="2"/>
      <c r="D41" s="2"/>
      <c r="E41" s="2"/>
    </row>
    <row r="42" spans="1:5" ht="14.25" customHeight="1">
      <c r="A42" s="2"/>
      <c r="B42" s="2"/>
      <c r="C42" s="2"/>
      <c r="D42" s="2"/>
      <c r="E42" s="2"/>
    </row>
    <row r="43" spans="1:5" ht="14.25" customHeight="1">
      <c r="A43" s="2"/>
      <c r="B43" s="2"/>
      <c r="C43" s="2"/>
      <c r="D43" s="2"/>
      <c r="E43" s="2"/>
    </row>
    <row r="44" spans="1:5" ht="14.25" customHeight="1">
      <c r="A44" s="2"/>
      <c r="B44" s="2"/>
      <c r="C44" s="2"/>
      <c r="D44" s="2"/>
      <c r="E44" s="2"/>
    </row>
    <row r="45" spans="1:5" ht="14.25" customHeight="1">
      <c r="A45" s="2"/>
      <c r="B45" s="2"/>
      <c r="C45" s="2"/>
      <c r="D45" s="2"/>
      <c r="E45" s="2"/>
    </row>
    <row r="46" spans="1:5" ht="14.25" customHeight="1">
      <c r="A46" s="2"/>
      <c r="B46" s="2"/>
      <c r="C46" s="2"/>
      <c r="D46" s="2"/>
      <c r="E46" s="2"/>
    </row>
    <row r="47" spans="1:5" ht="14.25" customHeight="1">
      <c r="A47" s="2"/>
      <c r="B47" s="2"/>
      <c r="C47" s="2"/>
      <c r="D47" s="2"/>
      <c r="E47" s="2"/>
    </row>
    <row r="48" spans="1:5" ht="14.25" customHeight="1">
      <c r="A48" s="2"/>
      <c r="B48" s="2"/>
      <c r="C48" s="2"/>
      <c r="D48" s="2"/>
      <c r="E48" s="2"/>
    </row>
    <row r="49" spans="1:5" ht="14.25" customHeight="1">
      <c r="A49" s="2"/>
      <c r="B49" s="2"/>
      <c r="C49" s="2"/>
      <c r="D49" s="2"/>
      <c r="E49" s="2"/>
    </row>
    <row r="50" spans="1:5" ht="14.25" customHeight="1">
      <c r="A50" s="2"/>
      <c r="B50" s="2"/>
      <c r="C50" s="2"/>
      <c r="D50" s="2"/>
      <c r="E50" s="2"/>
    </row>
    <row r="51" spans="1:5" ht="14.25" customHeight="1">
      <c r="A51" s="2"/>
      <c r="B51" s="2"/>
      <c r="C51" s="2"/>
      <c r="D51" s="2"/>
      <c r="E51" s="2"/>
    </row>
    <row r="52" spans="1:5" ht="14.25" customHeight="1">
      <c r="A52" s="2"/>
      <c r="B52" s="2"/>
      <c r="C52" s="2"/>
      <c r="D52" s="2"/>
      <c r="E52" s="2"/>
    </row>
    <row r="53" spans="1:5" ht="14.25" customHeight="1">
      <c r="A53" s="2"/>
      <c r="B53" s="2"/>
      <c r="C53" s="2"/>
      <c r="D53" s="2"/>
      <c r="E53" s="2"/>
    </row>
    <row r="54" spans="1:5" ht="14.25" customHeight="1">
      <c r="A54" s="2"/>
      <c r="B54" s="2"/>
      <c r="C54" s="2"/>
      <c r="D54" s="2"/>
      <c r="E54" s="2"/>
    </row>
    <row r="55" spans="1:5" ht="14.25" customHeight="1">
      <c r="A55" s="2"/>
      <c r="B55" s="2"/>
      <c r="C55" s="2"/>
      <c r="D55" s="2"/>
      <c r="E55" s="2"/>
    </row>
    <row r="56" spans="1:5" ht="14.25" customHeight="1">
      <c r="A56" s="2"/>
      <c r="B56" s="2"/>
      <c r="C56" s="2"/>
      <c r="D56" s="2"/>
      <c r="E56" s="2"/>
    </row>
    <row r="57" spans="1:5" ht="14.25" customHeight="1">
      <c r="A57" s="2"/>
      <c r="B57" s="2"/>
      <c r="C57" s="2"/>
      <c r="D57" s="2"/>
      <c r="E57" s="2"/>
    </row>
    <row r="58" spans="1:5" ht="14.25" customHeight="1">
      <c r="A58" s="2"/>
      <c r="B58" s="2"/>
      <c r="C58" s="2"/>
      <c r="D58" s="2"/>
      <c r="E58" s="2"/>
    </row>
    <row r="59" spans="1:5" ht="14.25" customHeight="1">
      <c r="A59" s="2"/>
      <c r="B59" s="2"/>
      <c r="C59" s="2"/>
      <c r="D59" s="2"/>
      <c r="E59" s="2"/>
    </row>
  </sheetData>
  <mergeCells count="34">
    <mergeCell ref="A33:E33"/>
    <mergeCell ref="B29:C29"/>
    <mergeCell ref="D29:E29"/>
    <mergeCell ref="B30:C30"/>
    <mergeCell ref="D30:E30"/>
    <mergeCell ref="A32:E32"/>
    <mergeCell ref="B25:C25"/>
    <mergeCell ref="D25:E25"/>
    <mergeCell ref="A27:E27"/>
    <mergeCell ref="B28:C28"/>
    <mergeCell ref="D28:E28"/>
    <mergeCell ref="B22:C22"/>
    <mergeCell ref="D22:E22"/>
    <mergeCell ref="B23:C23"/>
    <mergeCell ref="D23:E23"/>
    <mergeCell ref="B24:C24"/>
    <mergeCell ref="D24:E24"/>
    <mergeCell ref="B11:C11"/>
    <mergeCell ref="D11:E11"/>
    <mergeCell ref="A13:E13"/>
    <mergeCell ref="A20:E20"/>
    <mergeCell ref="B21:C21"/>
    <mergeCell ref="D21:E21"/>
    <mergeCell ref="B8:C8"/>
    <mergeCell ref="D8:E8"/>
    <mergeCell ref="B9:C9"/>
    <mergeCell ref="D9:E9"/>
    <mergeCell ref="B10:C10"/>
    <mergeCell ref="D10:E10"/>
    <mergeCell ref="A1:E1"/>
    <mergeCell ref="A2:C2"/>
    <mergeCell ref="A4:E4"/>
    <mergeCell ref="A5:E5"/>
    <mergeCell ref="A7:E7"/>
  </mergeCells>
  <conditionalFormatting sqref="A5">
    <cfRule type="cellIs" dxfId="6" priority="2" operator="equal">
      <formula>"PASS"</formula>
    </cfRule>
    <cfRule type="cellIs" dxfId="5" priority="3" operator="equal">
      <formula>"FAIL"</formula>
    </cfRule>
    <cfRule type="cellIs" dxfId="4" priority="4" operator="equal">
      <formula>"EXCEPTION NEEDED"</formula>
    </cfRule>
  </conditionalFormatting>
  <conditionalFormatting sqref="D25">
    <cfRule type="cellIs" dxfId="3" priority="17" operator="greaterThan">
      <formula>0</formula>
    </cfRule>
  </conditionalFormatting>
  <conditionalFormatting sqref="E15:E18">
    <cfRule type="cellIs" dxfId="2" priority="5" operator="equal">
      <formula>"Pass"</formula>
    </cfRule>
    <cfRule type="cellIs" dxfId="1" priority="6" operator="equal">
      <formula>"Fail"</formula>
    </cfRule>
    <cfRule type="cellIs" dxfId="0" priority="7" operator="equal">
      <formula>"Exception"</formula>
    </cfRule>
  </conditionalFormatting>
  <pageMargins left="0.5" right="0.5" top="0.5" bottom="0.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01_ReadMe</vt:lpstr>
      <vt:lpstr>02_Inputs</vt:lpstr>
      <vt:lpstr>03_Pricing_&amp;_Assumptions</vt:lpstr>
      <vt:lpstr>04_Calc_Engine</vt:lpstr>
      <vt:lpstr>05_Quote_Summary</vt:lpstr>
      <vt:lpstr>'05_Quote_Summary'!Print_Area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Hong Alex</cp:lastModifiedBy>
  <cp:revision>0</cp:revision>
  <dcterms:created xsi:type="dcterms:W3CDTF">2026-05-28T06:02:43Z</dcterms:created>
  <dcterms:modified xsi:type="dcterms:W3CDTF">2026-06-10T01:20:38Z</dcterms:modified>
  <dc:language>en-US</dc:language>
</cp:coreProperties>
</file>